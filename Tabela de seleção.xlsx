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<sst xmlns="http://schemas.openxmlformats.org/spreadsheetml/2006/main" count="267" uniqueCount="179">
  <si>
    <t>ID</t>
  </si>
  <si>
    <t>DOI</t>
  </si>
  <si>
    <t>TITLE</t>
  </si>
  <si>
    <t>CONTEXT (COUNTRY OR REGION)</t>
  </si>
  <si>
    <t>PUBLICATION YEAR</t>
  </si>
  <si>
    <t>QUALITY CRITERIA</t>
  </si>
  <si>
    <t>INCLUSION DECISION</t>
  </si>
  <si>
    <t>Challenges</t>
  </si>
  <si>
    <t>RQ1</t>
  </si>
  <si>
    <t>RQ2</t>
  </si>
  <si>
    <t>RQ3</t>
  </si>
  <si>
    <t>Motivo de reprovação:</t>
  </si>
  <si>
    <t>PDF</t>
  </si>
  <si>
    <t>10.1145/3218585.3218598</t>
  </si>
  <si>
    <t>A survey on accessibility awareness of Brazilian web developers</t>
  </si>
  <si>
    <t>Brazil</t>
  </si>
  <si>
    <t>CQ1, CQ2, CQ3</t>
  </si>
  <si>
    <t>Included</t>
  </si>
  <si>
    <t xml:space="preserve">* The accessibility evaluation mechanisms most commonly used by developers are not truly accessibility evaluation mechanisms, but rather compliance with Web standards.
* Lack of training
* Addresses the general lack of awareness among developers regarding digital accessibility in several sections
* Most developers reported that they have never heard of Web Accessibility Guidelines;
</t>
  </si>
  <si>
    <t xml:space="preserve">* Most developers neglect accessibility in their projects (note: particularly those with basic and intermediate knowledge);
* Companies do not consider including accessibility requirements in their projects;
* Evidence suggests that developers believe they are responsible for implementing accessibility requirements.
</t>
  </si>
  <si>
    <t>NOT APPLICABLE</t>
  </si>
  <si>
    <t>10.1145/1368044.1368064</t>
  </si>
  <si>
    <t>A survey on the accessibility awareness of people involved in web development projects in Brazil</t>
  </si>
  <si>
    <t xml:space="preserve">* Lack of awareness about laws/decrees: approximately 73% of developers are not fully aware of Law No. 5,296/2004
* Lack of awareness about guidelines: 39.15% are not familiar with WCAG, and 30.18% have only basic knowledge of it
* Lack of training: 56.38% of participants have never received any training on accessibility
* Suggestions to improve web accessibility: disseminate knowledge about accessibility legislation and increase awareness on this topic by providing accessibility training within organizations
</t>
  </si>
  <si>
    <t xml:space="preserve">* Regarding the consideration of accessibility in the projects they participate in: only 19.9% fully consider accessibility in their projects; 44.37% consider it partially, and 35.4% do not consider it at all
* When participants consider accessibility in their projects, personal motivation is the main contributing factor. In contrast, company or client motivation has the lowest contribution
* Main reasons for not considering accessibility in their projects: lack of formal requirements from the organization (51.33%) and lack of requirements from clients (49.08%)
</t>
  </si>
  <si>
    <t xml:space="preserve">* Use of accessibility evaluation tools: 47.7% stated that they do not use any accessibility evaluation tools in their projects. Among those who do use some tool, they are not exactly accessibility evaluation methods (HTML and CSS validation)
</t>
  </si>
  <si>
    <t>10.1145/3357155.3358448</t>
  </si>
  <si>
    <t>A survey on the awareness of brazilian web development community about cognitive accessibility</t>
  </si>
  <si>
    <t>* For those who do not consider people with cognitive disabilities in their projects, the main challenges and barriers: 75.3% cited a lack of knowledge about cognitive disabilities</t>
  </si>
  <si>
    <t>* Regarding knowledge of accessibility guidelines: 33% of respondents stated that they are not familiar with WCAG; 13% indicated that they have never used it (i.e., they know it but have never used it)
* Regarding other complementary materials that support the implementation of accessibility requirements: scientific studies and technical blogs are unknown to only 8.6%
* For those who consider people with cognitive disabilities in their projects, which main cognitive disabilities they consider: 62.5% consider people with intellectual disabilities; ASD and ADHD both reached 56.3% among respondents</t>
  </si>
  <si>
    <t xml:space="preserve">* Regarding the consideration of people with cognitive disabilities in their projects: 54.3% of respondents stated that they do not consider these individuals in their projects, and 30.5% indicated that they consider them partially
* For those who consider individuals with cognitive disabilities, their motivations are: 62.5% indicated that they understand these individuals are part of their audience; 62.5% stated that they consider this group to allow them to benefit from their product or service; 56.3% reported personal motivations
* For those who do not consider people with cognitive disabilities in their projects, the main challenges and barriers are: 53.9% stated that this group is not considered in their projects by the organization
* Respondents have difficulty understanding that people with cognitive disabilities are also part of their target audience
* For those who do not consider accessibility in their projects, what could motivate them to consider this group in future projects: 79.8% stated that guidelines could motivate them; 67.4% said that increasing knowledge about cognitive disabilities could also help in this process
</t>
  </si>
  <si>
    <t>* For those who consider people with cognitive disabilities in their projects, which materials they use to ensure accessibility for this group: 75% use WCAG as support, while 50% use technical blogs and scientific studies</t>
  </si>
  <si>
    <t>10.1145/3419249.3420119</t>
  </si>
  <si>
    <t>Perspectives and Practices of Digital Accessibility: A Survey of User Experience Professionals in Nordic Countries</t>
  </si>
  <si>
    <t>Nordic Countries
(Denmark, Finland and Norway)</t>
  </si>
  <si>
    <t xml:space="preserve">* Main challenges: time constraints, lack of training, and cost. These are associated with a lack of management support, as management is responsible for budget, workload allocation, and training
</t>
  </si>
  <si>
    <t xml:space="preserve">* It is worth noting that participants had greater experience in accessibility and are leading UX professionals in their countries
* Regarding their expertise in digital accessibility, most consider themselves at an intermediate level, while a small portion consider themselves experts
* Most participants were aware of accessibility legislation and follow it
* It was observed that knowledge of digital accessibility is higher among UX professionals and designers, and lower among managers and developers
* Education and training are essential for the adoption of accessibility. Lack of training was one of the main barriers to creating accessible systems
</t>
  </si>
  <si>
    <t xml:space="preserve">* The main reason organizations include accessibility in their projects is legal obligation
* Participants stated that professionals with expertise in interface design, usability design, and front-end development should be responsible for digital accessibility practices. Management roles were also considered responsible for making systems accessible, while back-end developers were the least cited group for this responsibility
* In addition to legal obligation, other common motivations for including accessibility were ethical principles and personal motivations
</t>
  </si>
  <si>
    <t>* The most commonly used accessibility evaluation tools were HTML validation and CSS validation; however, they do not require users to test the system’s accessibility features</t>
  </si>
  <si>
    <t>10.1145/3702038.3702108</t>
  </si>
  <si>
    <t>Strategic Insights into Integrating Accessibility in Software Development: Motivations, Barriers, Commitments, and Business Value</t>
  </si>
  <si>
    <t xml:space="preserve">* Interviewees highlight that although policies are aligned and designers and developers are committed to implementing accessibility requirements, development is complex and inherently prone to errors
</t>
  </si>
  <si>
    <t xml:space="preserve">* The study highlights that demands initiated and supported by tactical and strategic layers of organizations are essential to enable the development of accessible software
* It is further stated that, while the commitment of all professionals involved in the organizational process is fundamental, support from strategic layers leads to plans, policies, guidelines, and investments that ensure organizations achieve their goals
</t>
  </si>
  <si>
    <t xml:space="preserve">* One of the main measures adopted is the inclusion of accessibility criteria in the “Definition of Done” (DoD), ensuring that all stakeholders understand, implement, and validate accessibility requirements throughout development, rather than only at the end
* Many participants mentioned that organizations enforce policies requiring new requirements and artifacts to be validated by the accessibility team. Additionally, organizations also impose mandatory accessibility testing to ensure these requirements are properly met
</t>
  </si>
  <si>
    <t>10.1145/3477314.3507041</t>
  </si>
  <si>
    <t>Studying industry practices of accessibility requirements in agile development</t>
  </si>
  <si>
    <t>Brazil and Portugal</t>
  </si>
  <si>
    <t>* The main challenge mentioned when trying to specify accessibility requirements was the lack of experts in the team, lack of team knowledge, and lack of tools
* For those who rely on guidelines in the process, some find the language too complex for non-experts</t>
  </si>
  <si>
    <t xml:space="preserve">* Level of accessibility knowledge: 38.5% basic knowledge; 30.8% intermediate; 15% no experience
* Regarding training provided by companies on accessibility: 53.8% rarely received training; 38.5% have never received any training
* 53.8% have never used standards or guidelines as a resource to support the specification, development, and testing of accessibility
* Some companies consider accessibility to comply with local legislation. In the context of the study, 53.8% of companies are not familiar with these obligations; 30.8% are slightly familiar, and 15.4% are moderately familiar
* Most participants are not very familiar with assistive technologies (61.6%)
* Lack of training (30.8%) was also mentioned as a factor contributing to the lack of prioritization of accessibility requirements
</t>
  </si>
  <si>
    <t xml:space="preserve">* Legal obligation (30.8%) was cited as the main motivation for companies to implement accessibility requirements
* Regarding the prioritization of accessibility requirements: 69.2% stated that fewer than five projects they participated in prioritized accessibility requirements; 30.8% have never treated accessibility as a priority in their projects
* In general, participants reported that the lack of enforcement by clients (61.5%) is the main factor for not considering these requirements (a common aspect in agile development)
</t>
  </si>
  <si>
    <t xml:space="preserve">* Most commonly used techniques for specifying accessibility requirements: acceptance criteria (5/13) and user stories (3/13)
* Regarding accessibility evaluation methods: 81.4% of responses indicated little or no familiarity with these methods
* Among those who reported being familiar, the most used approaches are automated tools (38.5%) and manual reviews of accessibility guidelines (38.5%), followed by testing with people with disabilities (30.8%), expert evaluation (23.1%), and HTML and CSS validation (23.1%)
* Models, checklists, and catalogs could support agile teams in specifying accessibility requirements
</t>
  </si>
  <si>
    <t>10.1145/3639474.3640083</t>
  </si>
  <si>
    <t>Teaching Digital Accessibility to Industry Professionals using the Community of Practice framework: An Experience Report</t>
  </si>
  <si>
    <t>Asia-Pacific</t>
  </si>
  <si>
    <t>Excluded</t>
  </si>
  <si>
    <t>The study does not report challenges, perceptions, or practices related to the implementation of accessibility requirements from the developers’ perspective. It does not address the implementation of accessibility, but rather its learning process.</t>
  </si>
  <si>
    <t>10.1145/3334480.3383103</t>
  </si>
  <si>
    <t>Why Software is Not Accessible: Technology Professionals' Perspectives and Challenges</t>
  </si>
  <si>
    <t>United States</t>
  </si>
  <si>
    <t>* They mention the difficulty of retroactively evaluating accessibility issues during development cycles, especially in large-scale projects</t>
  </si>
  <si>
    <t xml:space="preserve">* It states that, due to the lack of formal education, professionals had limited knowledge about accessibility, compliance requirements, or guidelines. Only 35% of respondents learned something substantial about accessibility during their formal education
* Regarding familiarity with accessibility guidelines and U.S. accessibility laws (ADA): 44% are slightly familiar and 63% are not familiar at all
* They mention difficulties in interpreting guidelines and express a desire for guidelines to provide demonstrations on how to implement accessible components, rather than only describing them
</t>
  </si>
  <si>
    <t xml:space="preserve">* Leadership, especially in smaller companies, sometimes focuses on economic goals, so accessibility is considered an additional cost in terms of time and resources
* Developers tend to incorporate company values, which do not always include accessibility as a priority. However, if leadership positions valued accessibility as part of their objectives, participants would be more likely to have access to resources to include accessibility
* Some respondents stated that accessibility was neglected amid frequent task switching, within a culture of tight deadlines driven by the constant pursuit of industry trends
* Regarding the tools or resources professionals use to create accessible solutions: in the survey, accessibility is, in most cases, not considered throughout the development lifecycle
</t>
  </si>
  <si>
    <t xml:space="preserve">* Regarding the tools or resources professionals use to create accessible solutions: in the interviews, they indicated that the high pressure of development cycles demands simple and easy-to-use tools
* Regarding tools: participants stated that there is a lack of tools and resources, especially examples of how to create accessible components
* Some participants mentioned preferring better tools that can identify accessibility violations and provide quick solutions
</t>
  </si>
  <si>
    <t>10.1145/1805986.1806029</t>
  </si>
  <si>
    <t>Accessibility challenges and tool features: an IBM Web developer perspective</t>
  </si>
  <si>
    <t>Globalized</t>
  </si>
  <si>
    <t xml:space="preserve">* Major difficulties reported when developing accessible solutions: design, testing, and finding technical alternatives to overcome limitations.
* Although most interviewed developers have access to information and training, testing and finding alternatives to overcome limitations require significant time, and lack of time is a limiting factor in making systems accessible;
* Lack of time is the most common and limiting reason for creating an accessible solution.
* Applying accessibility retroactively is difficult and time-consuming.
</t>
  </si>
  <si>
    <t xml:space="preserve">
</t>
  </si>
  <si>
    <t xml:space="preserve">* Survey respondents, regardless of their level of accessibility expertise, rely on tools to perform automatable checks, along with explanations of the detected errors. The ability to precisely locate errors was also considered important by participants. They noted that in rich web applications, where page elements can be dynamically inserted, reliably identifying the relevant source code can be particularly difficult;
* Comments suggested that explanations provided by current tools are not sufficiently detailed;
* Participants highlighted the need for tools that improve developers’ understanding of accessibility: tools that explain the problem, clarify why a code fragment is problematic, provide solution examples, and simulate the experience of users with disabilities;
* The study confirms that many developers feel uncomfortable using assistive technologies during testing;
* The study concluded that easy-to-use tools capable of locating and diagnosing issues related to assistive technologies—or even consistently predicting how such technologies will behave—would be highly beneficial for developers;
* Integrating multiple tools into a single solution was also suggested.
</t>
  </si>
  <si>
    <t>10.1109/CHASE52884.2021.00028</t>
  </si>
  <si>
    <t>Mobile Accessibility Guidelines Adoption under the Perspective of Developers and Designers</t>
  </si>
  <si>
    <t>CQ1, CQ3</t>
  </si>
  <si>
    <t xml:space="preserve">* Regarding training in the context of accessibility, developers and designers, respectively: never had any (24% vs. 27%); at least once (45% vs. 27%); and many times (31% vs. 46%);
* Regarding knowledge of WCAG guidelines, developers and designers, respectively: unaware (64% vs. 27%); aware but have never read them (15% vs. 23%); and have read them at least partially (21% vs. 50%);
* According to developers, the main reasons why the guidelines are not well known are: lack of industry interest in accessibility, lack of accessibility in academic curricula, and lack of studies on accessibility;
* Lack of awareness or knowledge about accessibility leads to insecurity within teams regarding the topic;
* Paths for improvement: training and greater familiarity with users’ needs;
* Another path for improvement: empathy and recognizing the diversity of people, each with their own specific needs and characteristics.
</t>
  </si>
  <si>
    <t xml:space="preserve">* Regarding the reasons why guidelines are not applied in projects: client priorities, project time constraints, and the priorities of the company developing the system;
* Obstacles: lack of prioritization by stakeholders and limited awareness among decision-makers, such as clients.
</t>
  </si>
  <si>
    <t>10.1109/CoG57401.2023.10333178</t>
  </si>
  <si>
    <t>A Qualitative Investigation of Real World Accessible Design Experiences within a Large Scale Commercial Game Development Studio</t>
  </si>
  <si>
    <t>United Kingdom</t>
  </si>
  <si>
    <t xml:space="preserve">* Developers reported that although their knowledge of accessibility is increasing, it is still limited. They also stated that this limited knowledge is largely derived from feedback provided by consultants;
</t>
  </si>
  <si>
    <t xml:space="preserve">* Developers consider accessibility important and are motivated to create accessible games from different perspectives, promoting equal experiences and recognizing that accessibility improves the game for everyone;
* Resource allocation, scheduling, and workflows depend on how much the company prioritizes accessibility;
* Developers find it difficult to prioritize accessibility requirements and struggle to understand the cost–benefit of these features;
* Developers feel it is important to have accessibility goals, but these are usually unclear and appear to be implicit within the organization;
* External factors can impact accessibility goals within the company, such as legislation and collaboration with external contractors;
* Developers believe it is essential to have someone leading accessibility efforts in companies, but responsibility for accessibility is often unclear across organizational levels;
* From the developer’s perspective, the critical resource for implementing accessibility requirements is time;
* Developers recognize that without prioritization, it is challenging to allocate time and engage in making games accessible;
* Developers indicated that accessibility is often seen as the responsibility of the user interface team;
* There is difficulty engaging in accessibility-related activities due to competing project tasks;
* Developers stated that it is very valuable for company leadership to take the lead in promoting the inclusion of accessibility requirements.
</t>
  </si>
  <si>
    <t xml:space="preserve">* Comparative accessibility was considered the best source of knowledge in the interviews, that is, gaining accessibility insights by analyzing other games;
* Feedback from accessibility specialists was another source of knowledge;
* Developers value feedback from players with disabilities regarding their gaming experience, but such feedback is scarce;
* Developers feel it is important to have accessibility goals, standards, or models to follow, as this would make developing accessible games easier;
* Developers feel they need more feedback than they usually receive.
</t>
  </si>
  <si>
    <t>10.1145/3706598.3713927</t>
  </si>
  <si>
    <t>Understanding VR Accessibility Practices of VR Professionals</t>
  </si>
  <si>
    <t xml:space="preserve">* Inconsistencies in user preferences can make the analysis of accessibility requirements more difficult;
* Many professionals reported not considering open-source accessibility toolkits. Some noted that developing accessible VR toolkits is complex due to the challenges in understanding the situations of users with disabilities;
* Some professionals highlighted that user experience design for VR products requires more effort than for standard software products;
* Prototyping tools (e.g., Figma) are not suitable for evaluating UI/UX in an immersive VR context;
* Interface and interaction design in VR differ from traditional software, and standard tools do not fully support this context;
* Some professionals stated that VR software projects involve multiple resources and files, potentially making project management more complex;
* Many VR professionals reported a lack of clear guidelines for developing accessible VR software;
* 60% of developers find it challenging to make accessibility design decisions in VR when dealing with users with disabilities;
* 64% of developers agree that there are no mature open-source frameworks to support the development of accessibility features in VR;
* Developers recognize that additional effort is required for testing and evaluating accessibility in VR (~77%);
* Excessive focus on accessibility may make VR products less user-friendly for the general audience;
* Hardware-related issues are a significant factor in not considering accessibility in VR (105 mentions);
* VR hardware resources still pose significant challenges for accessibility;
* Tools are unable to compensate for physical limitations (e.g., vision), making accessibility more difficult;
* VR headsets may restrict movement and cause discomfort for users;
* The diversity of users with disabilities and their varying needs is a major challenge;
* Current frameworks do not adequately address the diversity of needs of users with disabilities;
* Lack of user familiarity with VR makes it difficult to gather quality requirements;
* Unclear user requirements are one of the main reasons for neglecting accessibility in VR (52 mentions);
* Standardization of accessibility in XR is one of the major challenges;
* Developing accessibility features in VR is considered a complex task;
* Complex technical solutions are one of the reasons for not considering accessibility in VR (71 mentions);
* Testing and evaluating accessibility in VR is a significant challenge.
</t>
  </si>
  <si>
    <t xml:space="preserve">* Only a few VR professionals have a deep understanding of accessibility, indicating a generally low level of expertise on the topic;
* Many VR developers lack knowledge or are not familiar with the concept of accessibility in VR;
* Accessibility education in VR is limited in programs such as design, computer science, and software engineering, which impacts professional training;
* Developers with limited experience in traditional software development tend to have limited knowledge of accessibility;
* More experienced professionals (e.g., technical leads) and UI/UX designers demonstrate a broader understanding of accessibility in VR;
* Some professionals gather user requirements through online communities and forums;
* Despite these efforts, there is still a professional knowledge gap in effectively evaluating VR systems for users with disabilities;
* Few developers use standards such as XAUR for accessibility testing in VR (~18%);
* Lack of professional knowledge and specialized teams is one of the reasons for not considering accessibility in VR;
* Lack of professional knowledge is a central challenge in VR accessibility;
* Lack of knowledge about testing and evaluation is one of the reasons for not considering accessibility in VR (93 mentions).
</t>
  </si>
  <si>
    <t xml:space="preserve">* In sectors such as education and healthcare, accessibility requirements are more prioritized during elicitation;
* Developers do not prioritize incorporating accessibility requirements based on user feedback throughout project iterations;
* Even when collecting user feedback, developers often neglect accessibility requirements;
* Developers consider accessibility requirements for users with disabilities but overlook certain types. They mainly consider auditory impairments, operational difficulties, and motion sickness, while neglecting others such as olfactory impairments;
* 48% of respondents consider accessibility in VR to be a central task during the requirements engineering phase;
* Accessibility requirements in VR differ from those in traditional software during RE phases;
* Most professionals stated that the VR development process differs from traditional development processes, except for the use of object-oriented programming languages;
* Experiences and interaction methods from traditional games are not directly applicable to the VR context;
* 57% of developers perceive that prioritizing accessibility in the design phase in VR may compromise the overall user experience;
* Although most professionals prioritize evaluating effectiveness, usability, feasibility, and learnability, they tend to neglect the importance of evaluating VR accessibility requirements;
* Many VR professionals provide training to use VR systems, including manuals and hardware instructions. However, most do not fully consider users with disabilities in these trainings;
* Human factors influence the lack of consideration for accessibility due to the variability of user needs (e.g., color blindness);
* Developers focus only on simple operational preferences and ignore more complex needs (e.g., cognitive impairments);
* Developers prioritize hardware improvements and overall experience over accessibility;
* Companies in less developed regions tend to neglect accessibility or lack knowledge about the topic;
* Economically developed regions tend to pay more attention to accessibility standards and laws;
* Costs and market factors contribute to the lack of consideration for accessibility in VR.
</t>
  </si>
  <si>
    <t xml:space="preserve">* Developers use interviews and surveys as the main approach to elicit accessibility requirements;
* Developers use market research and competitor analysis to guide requirement definition;
* User requirements are derived from market rules and trend analysis before the prototyping phase;
* Use of VR as a tool to collect requirements, allowing users to interact with models and provide feedback;
* Developers conducted in-person visits and interviews to identify specific needs of users with disabilities (e.g., autism);
* Developers use methods such as “persona” and “user story” for analyzing accessibility requirements;
* VR testing is mostly conducted internally, with little participation from users with disabilities;
* Tests are carried out by developers, designers, and QA professionals, not always with a focus on accessibility;
* Testing focuses on aspects such as fluidity, interaction, responsiveness, and visual clarity;
* Hardware compatibility testing is conducted to support users with specific disabilities;
* None of the participants reported using specific tools for VR accessibility testing;
* Many professionals indicated that they rarely consider recruiting users with disabilities to evaluate VR systems.
</t>
  </si>
  <si>
    <t>10.1109/WiSPNET51692.2021.9419464</t>
  </si>
  <si>
    <t>A Brief Survey of Current Software Engineering Practices in Continuous Integration and Automated Accessibility Testing</t>
  </si>
  <si>
    <t>Do not mention</t>
  </si>
  <si>
    <t xml:space="preserve">* Many developers are not familiar with accessibility guidelines;
* Modern interfaces can hinder accessibility, for example: the use of ARIA and dynamic DOM structures that do not work well with accessibility tools;
* Developers need to be trained to use accessibility tools;
* Developers and testers require training in accessibility.
</t>
  </si>
  <si>
    <t xml:space="preserve">* Factors influencing the adoption of accessibility include whether the technology provides a competitive advantage, whether it is compatible with technologies already used by the company, how difficult it is to implement accessibility standards, and how visible the results and benefits of adoption are;
* Small companies have fewer financial resources for innovation; therefore, their budgets are mainly allocated to salaries and basic operations;
* Benefits of using CI/CD for accessibility testing: more automated tests, a higher number of tests is associated with better code quality, and CI/CD tools generate accessibility metrics and logs that help identify issues;
* Integration of accessibility with Agile methodologies: accessibility tests can be integrated into automated testing pipelines, executed alongside unit tests, and this allows accessibility issues to be detected during development;
* Many developers do not consider accessibility as part of their responsibilities;
* Professional training should be encouraged by company management.
</t>
  </si>
  <si>
    <t xml:space="preserve">* Integrating accessibility testing into the development cycle is advantageous for companies. This can be achieved using continuous integration (CI/CD), enabling automated accessibility testing during development;
* Lack of adequate evaluation tools and methods;
* W3C standards are primarily focused on web accessibility, creating challenges in developing tools for different platforms;
* There are both commercial and open-source tools for accessibility testing, such as Axe, BrowserStack, and Pa11y. These tools can be integrated into CI/CD pipelines and detect accessibility violations through warnings and notifications;
* Tools that help developers understand the needs of users with disabilities include Cambridge Simulation Glasses, Dyslexia Simulator/SiteImprove, personas, and screen readers.
</t>
  </si>
  <si>
    <t>The study is not a primary study, as it consists of a literature review without data collection from developers.</t>
  </si>
  <si>
    <t>10.1109/CDMA61895.2025.00016</t>
  </si>
  <si>
    <t>Automating Accessibility Compliance: Leveraging Machine Learning to Analyze Developer Challenges with WCAG Guidelines</t>
  </si>
  <si>
    <t xml:space="preserve">* Programmers typically face a significant burden due to the complex and time-consuming manual process of ensuring compliance.
</t>
  </si>
  <si>
    <t xml:space="preserve">* Automatically detecting accessibility guidelines in developers’ posts improves the accessibility testing process;
* Machine learning–based tools can identify accessibility issues, helping to apply guidelines more efficiently and consistently. They also enable fast and scalable accessibility evaluation in large websites and applications;
* Despite the existence of many guidelines and regulations, there is still a lack of tools that effectively help developers follow these standards. Machine learning can identify patterns in these posts and detect accessibility challenges, improving the accuracy and efficiency of accessibility testing.
</t>
  </si>
  <si>
    <t>10.1109/IEEM58616.2023.10406733</t>
  </si>
  <si>
    <t>Managing Accessibility Requirements in Web Application Development Projects: The Perspectives from Research and the Industry</t>
  </si>
  <si>
    <t>North America</t>
  </si>
  <si>
    <t xml:space="preserve">* Regarding accessibility barriers: complexity of accessibility guidelines.
</t>
  </si>
  <si>
    <t xml:space="preserve">* Developers involved in the study tend to use formal web accessibility guidelines during the development process and apply them to their products;
* 65.7% of participants reported applying WCAG;
* Regarding accessibility barriers: lack of knowledge and training;
* Regarding accessibility barriers: lack of familiarity with assistive technologies;
* Factors associated with more accessible web applications include following formal accessibility guidelines and applying WCAG;
* Regarding the knowledge required to develop accessible web applications: 96.7% reported knowledge of accessibility guidelines; 86.7% reported knowledge of evaluation methods and testing tools; 85% reported knowledge of web development languages and tools; and 73.3% reported knowledge of assistive technologies.
</t>
  </si>
  <si>
    <t xml:space="preserve">* 62.7% reported delivering accessible web applications;
* Ways to improve accessibility in web applications include: increasing accessibility knowledge among all stakeholders, increasing the number of accessibility specialists in the development process, strengthening applicable laws and regulations, adding new phases in the development process to address accessibility requirements, and involving users with disabilities in the development process in various roles;
* Factors associated with more accessible web applications include: recognizing the lack of consideration for accessibility in the development process and the lack of knowledge among IT professionals, increasing the number of accessibility specialists in the development process as an effective measure, acknowledging the risk of legal complications for organizations, and being aware of usability challenges caused by web applications that do not meet accessibility requirements.
</t>
  </si>
  <si>
    <t xml:space="preserve">* Regarding methods for evaluating web applications, respondents identified manual testing using simulation tools as the most effective method, followed by automated testing and evaluations conducted by users with disabilities;
* Ways to improve accessibility in web applications include using relevant and advanced tools in the development process and restructuring WCAG;
* Factors associated with more accessible web applications include recognizing manual testing, supported by tools and metrics, as an effective method for evaluating accessibility.
</t>
  </si>
  <si>
    <t>10.48550/arXiv.2409.07945</t>
  </si>
  <si>
    <t>Exploring Accessibility Trends and Challenges in Mobile App Development: A Study of Stack Overflow Questions</t>
  </si>
  <si>
    <t>CQ3, CQ4</t>
  </si>
  <si>
    <t xml:space="preserve">* Developers face difficulties integrating screen readers (VoiceOver and TalkBack) into mobile applications;
* Issues mainly occur in UI components and data visualizations, such as tables, lists, and collections;
* Developers struggle to implement gesture-based navigation with screen readers;
* On Android, there are challenges in configuring and implementing custom accessibility services;
* Common issues include permissions, device compatibility, manifest configuration, and functionality after system reboot;
* Developers face difficulties in making UI elements and interactions accessible (buttons, text, images, input fields);
* Common problems include redundant descriptions and hints, failures in field updates, focus and navigation errors, overlapping pop-ups/dialogs, and incorrect reading of items, which can confuse screen reader users;
* Developers encounter challenges when implementing multilingual support and integrating Text-to-Speech (TTS), including conflicts with services like TalkBack and issues in reading non-standard text (acronyms, special characters, and mathematical expressions), as well as ambiguities affecting TTS output;
* There are also challenges in implementing gestures and touch interactions (swipe, long press, zoom, double-tap, explore-by-touch), especially when integrating with accessibility services and screen readers;
* Additional challenges include implementing dynamic text sizing and font adjustments, such as adapting to accessibility settings, integrating with iOS/Android/Flutter APIs, and maintaining interface consistency across elements like buttons, lists, and grids.
</t>
  </si>
  <si>
    <t xml:space="preserve">* Due to the challenges in incorporating accessibility requirements, accessibility training in mobile applications represents an opportunity.
</t>
  </si>
  <si>
    <t xml:space="preserve">* QP3 of the study indicates that mobile developers support users with visual impairments;
* Developers recognize the value of accessibility requirements in improving overall app quality and expanding the user base;
* Organizations should prioritize specialized accessibility training for their developers;
* Developers and analysts should explicitly define accessibility requirements during requirements elicitation to ensure applications support users with disabilities. Considering accessibility from the beginning allows it to be integrated into the system architecture and interface;
* Teams can involve accessibility specialists or provide training, reducing rework during development.
</t>
  </si>
  <si>
    <t xml:space="preserve">* Developers face difficulties with accessibility testing and debugging tools (e.g., Accessibility Inspector, Appium Inspector, XCTest, KIF), especially when integrating automated tests, comparing results across tools, and validating accessibility features across different platforms;
* Addressing low perceived ease of use (PEOU) through better tools, documentation, and community support is essential for the adoption of accessibility requirements in mobile applications;
* The study highlights the need for more advanced and user-friendly tools;
* The use of accessibility testing frameworks and libraries (e.g., Axe) can facilitate the integration of accessible components.
</t>
  </si>
  <si>
    <t>10.1007/978-3-030-58796-3_35</t>
  </si>
  <si>
    <t>How Web Professionals Perceive Web Accessibility in Practice: Active Roles, Process Phases and Key Disabilities</t>
  </si>
  <si>
    <t>Switzerland</t>
  </si>
  <si>
    <t xml:space="preserve">* Regarding responsibility for web accessibility within organizations: 49.1% attribute it to interaction design professionals, 46% to development professionals, 41.7% to user research and usability testing, 36.2% to visual design, and 33.1% to accessibility experts. Management roles (16%) and functional testing (12.9%) were the least mentioned;
* Regarding the development phases in which web accessibility is considered: implementation (68.1%) and design (63.8%) were the most mentioned, followed by analysis (33.7%), operation (33.1%), and deployment (26.4%). Additionally, a significant portion of participants reported that web accessibility is not considered at all in their organization’s development process (22.1%);
* Regarding which disabilities are considered by organizations, in descending order: visual impairments, blindness, motor impairments, deafness, hearing impairments, and learning and attention disorders;
* Accessibility experts were mentioned less frequently in terms of organizational responsibility, which may indicate that they are more focused on promoting general awareness of web accessibility rather than being directly involved in project development;
* Non-technical roles are less aware of accessibility issues, which may hinder the adoption of strategies that promote accessibility at the organizational level;
* Web accessibility is more frequently considered during the design and implementation phases, with little mention of its consideration when adding new features after the product is already operational;
* Web accessibility is rarely considered during the analysis phase, possibly due to the perception that it benefits only a small group of users and offers low competitive value for companies.
</t>
  </si>
  <si>
    <t>10.1007/s10209-017-0603-3</t>
  </si>
  <si>
    <t>Web accessibility in Turkey: awareness, understanding and practices of user experience professionals</t>
  </si>
  <si>
    <t>Turkey</t>
  </si>
  <si>
    <t xml:space="preserve">* Regarding accessibility training: 29% reported never having received any training in web accessibility. Among the remaining participants, 28% and 21% received training during postgraduate and undergraduate education, respectively. 18% participated in company-organized training programs, 16% took online courses, 7% held a certification, and 22% were involved in projects related to accessibility in work or postgraduate contexts;
* 90% of participants who received internal accessibility training, 94% of those who took online courses, and 100% of those with accessibility certifications work in the private sector, mainly in IT, finance, and telecommunications;
* Among participants who conducted projects or studies in web accessibility, 60% work in the private sector, and only one participant had completed a specific postgraduate degree in the area;
* Many UX professionals reported low knowledge of web accessibility standards: 43% were not familiar with WCAG, and only three participants reported having good knowledge of these guidelines;
* Lack of knowledge also extends to other standards: 58% were not familiar with ATAG, 55% with UAAG, 58% with ISO 9241-171, and 51% with ISO 9241-210;
* Participants with postgraduate studies in web accessibility demonstrated greater familiarity with international accessibility guidelines and standards;
* In contrast, participants with certifications, university courses, or online/internal training showed lower levels of knowledge about these guidelines and standards;
* 42 participants (37%) reported having no knowledge of any international accessibility guideline or standard presented in the study;
* Among those with no knowledge of any accessibility guideline or standard, nearly half (n = 19) had no prior accessibility training, indicating that training programs can help increase knowledge and awareness among UX professionals;
* 69% of participants (n = 78) reported knowing how people with disabilities use web applications; 21% (n = 24) said they did not know, and 9% (n = 10) were unsure whether such users engage with web applications;
* Despite this, only 15% (n = 17) had developed web applications for people with disabilities, while 27% (n = 31) had no experience in this area. Additionally, a significant portion (27%, n = 31) did not know how to develop such applications;
* Among participants without experience in this type of development, 68% (n = 21) worked in large organizations. Moreover, half of those who did not know how people with disabilities use web applications (n = 12) had no prior training in accessibility, while 77% (n = 61) of those who did know had participated in training or courses;
* Among assistive technologies, participants were most familiar with voice recognition (39%, n = 44), followed by screen magnifiers (31%, n = 35) and screen readers (30%, n = 34);
* Other technologies mentioned include Braille printers (20%, n = 23), alternative keyboards (19%, n = 21), and alternative mice/joysticks (16%, n = 18), while only 5% (n = 6) reported no familiarity with assistive technologies;
* Suggestions to improve web accessibility education include offering open courses, providing training materials, and translating WAI training materials into Turkish;
* Suggestions to improve accessibility integration in development include increasing awareness among UX professionals about the need to incorporate accessibility into their projects.
</t>
  </si>
  <si>
    <t xml:space="preserve">* Participants who had already developed web applications for people with disabilities mainly worked in the IT (n = 6) and education (n = 6) sectors;
* 32% of participants (n = 36) indicated that their interest in web accessibility is related to the idea of inclusion, enabling everyone to use the web;
* Other motivations include developing better products (27%, n = 30), research opportunities (12%, n = 13), ethical reasons (10%, n = 11), and search engine optimization (8%, n = 9);
* Among organizational motivations for adopting web accessibility, the most cited were inclusion (19%, n = 21), client requirements (14%, n = 16), developing better products (12%, n = 13), increasing revenue (12%, n = 13), organizational requirements (6%, n = 7), and legal compliance (5%, n = 6);
* Only 17% of professionals (n = 19) stated that their organizations consider accessibility very important, while 21% (n = 24) said their organizations do not value it, and 66% (n = 74) work in organizations with a moderate or low attitude toward web accessibility;
* 69% of UX professionals (n = 78) reported that they had not considered web accessibility in previous projects, while 31% (n = 35) had included it, with an average of 4.2 years of experience in such projects;
* Nearly half of the participants (50%, n = 57) believe that the product manager is responsible for ensuring accessibility, followed by UX designers (36%, n = 41), UI designers (35%, n = 40), project managers (35%, n = 39), UX managers (34%, n = 38), and developers (33%, n = 37);
* UX professionals who implemented accessibility in projects reported challenges related to increased costs and longer project timelines;
* Time and resource constraints during the development cycle were also identified as barriers to ensuring web accessibility;
* Difficulty in fully understanding the needs of people with disabilities was reported, especially since accessibility is not always seen as a requirement and accessibility requirements are not always defined before development begins;
* Interface design issues were also mentioned, such as the absence of subtexts and the use of visual elements without textual equivalents. Even when designers include subtexts and tags in the code, these elements may be overlooked due to time and resource constraints;
* Lack of knowledge and awareness about web accessibility among professionals was highlighted, along with difficulties in maintaining accessibility when new content is added by editors who do not follow accessibility practices;
* Only 17% of UX professionals (n = 19) work directly with people with disabilities in projects, although all of them consider accessibility during development;
* The main reasons for not considering accessibility in projects were lack of awareness (21%, n = 24), absence of demand from clients or users (19%, n = 21), and lack of training in accessibility (15%, n = 17);
* Other factors reported include accessibility being out of project scope (14%, n = 16), time constraints (12%, n = 14), lack of management support for accessibility initiatives (12%, n = 13), and the perception that accessibility is the responsibility of other team members (12%, n = 13);
* Additional challenges include insufficient resources to implement accessibility (11%, n = 12), low levels of accessibility knowledge (10%, n = 11), budget constraints (9%, n = 10), and lack of clear guidelines or regulations to support implementation (6%, n = 7);
* Suggestions to increase awareness about web accessibility include demonstrating the importance of inclusion for governmental organizations and encouraging civil society engagement in supporting the community;
* Suggestions to encourage organizational adoption include demonstrating the business benefits of accessibility, such as reaching more users and increasing profits;
* Suggestions to improve organizational responsibility include ensuring that UX professionals and other stakeholders understand that accessibility is a requirement, not an optional feature that can be ignored or postponed.
</t>
  </si>
  <si>
    <t xml:space="preserve">* Accessibility evaluation methods used by participants included testing with people with disabilities (15 participants) and checking compliance with accessibility guidelines (8 participants). Other reported methods were the use of assistive technologies (n = 4), CSS validation (n = 4), HTML validation (n = 4), and testing with older adults (n = 4). No participants reported using automated accessibility evaluation tools;
</t>
  </si>
  <si>
    <t>10.1007/s10209-024-01174-3</t>
  </si>
  <si>
    <t>Understanding developer challenges and trends in web accessibility: a stack overflow analysis</t>
  </si>
  <si>
    <t xml:space="preserve">*Statistical Focus and Impact: The analysis identified that discussions revolve around three main aspects: flexibility and efficiency of time-based content, keyboard navigation, and aesthetic design, which together account for more than 60% of the reported accessibility issues;
* Despite the availability of a wide range of guidelines, developers may face obstacles in making websites accessible, particularly in adopting accessibility best practices, such as assigning accessibility attributes for screen readers and other tools, or handling accessibility-related warnings.
</t>
  </si>
  <si>
    <t xml:space="preserve">* Visual accessibility as a foundation: Considering various aspects to accommodate people with visual impairments (including blindness) can serve as an initial step for developers to understand and implement all types of accessibility requirements;
* Web developers lack knowledge of how assistive technologies work. This highlights the absence of comprehensive guidelines to understand how individuals with disabilities interact with web applications.
</t>
  </si>
  <si>
    <t xml:space="preserve">* Although the analyzed posts mainly focus on non-visual access, there is evidence that developers are also concerned with other topics related to supporting different types of disabilities.
</t>
  </si>
  <si>
    <t xml:space="preserve">* Introducing accessibility-related discussions on Stack Overflow could facilitate the dissemination and enrichment of knowledge on this critical topic;
* This suggests that the availability of standalone guidelines may be insufficient, as a more practical approach—along with user-friendly tools and platforms—could be essential to guide developers through the complex process of achieving web accessibility.
</t>
  </si>
  <si>
    <t>10.1007/978-3-030-23560-4_3</t>
  </si>
  <si>
    <t>Empowering Instead of Hindering – Challenges in Participatory Development of Cognitively Accessible Software</t>
  </si>
  <si>
    <t>Germany, with the collaboration of Switzerland and Austria</t>
  </si>
  <si>
    <t>CQ3</t>
  </si>
  <si>
    <t xml:space="preserve">* In participatory development: during requirements analysis, the main difficulties were communication and understanding, requiring the use of images and simplified explanations. This improved interaction but increased meeting time;
* In participatory development: during testing with early prototypes, difficulties with abstraction and concentration led to distraction by unimplemented features and visual aspects, reducing focus on the functionalities being evaluated;
* In participatory development: testers struggled to focus on the target functionalities, prioritizing layout and visual quality, which resulted in only partial evaluation of features;
* In participatory development: in the Easy Reading project, similar issues were observed—unstable or unimplemented features caused frustration, while visual aspects were evaluated more than functional problems;
* In participatory development: communication challenges in inclusive teams involved complex language, abstraction, and inadequate meeting dynamics, leading to misunderstanding, frustration, and a significant increase in time and resource consumption;
* In participatory development: developers and researchers had difficulties adapting to the cognitive and emotional needs of the target group, resulting in higher time and human costs.
</t>
  </si>
  <si>
    <t xml:space="preserve">* Participatory development in Agile projects involving people with cognitive disabilities presents several challenges;
* There is a need to develop specific methods and approaches to improve participation in cognitively accessible software projects.
</t>
  </si>
  <si>
    <t xml:space="preserve">Does not meet the quality criteria.
</t>
  </si>
  <si>
    <t>10.1007/s10209-023-00980-5</t>
  </si>
  <si>
    <t>Understanding mindsets, skills, current practices, and barriers of adoption of digital accessibility in Kuwait’s software development landscape</t>
  </si>
  <si>
    <t>Kuwait</t>
  </si>
  <si>
    <t xml:space="preserve">* Most IT professionals reported an intermediate level of experience in development, UI/UX, usability, and/or accessibility; however, the majority had not received training in these areas in the past two years;
* Approximately 32% of professionals reported having received accessibility training in the last two years;
* Around 13% of IT professionals stated that they apply accessibility in all their projects; however, none demonstrated knowledge of international web accessibility guidelines (WCAG);
* Among IT managers, 22% reported having received accessibility training in the last two years; however, only 2.7% stated that they always apply accessibility in their projects;
* Among IT managers, 21% reported having received UX/UI training in the last two years, with 69% of these trainings undertaken on their own initiative;
* The results indicate that both technical professionals and IT managers have low exposure to people with disabilities and limited knowledge of how these individuals use the Web;
* Among technical IT professionals, 66% reported having personally interacted with people with disabilities; when asked how different groups use the Web, on average, 27% indicated they did not know that people with disabilities could use the Web, 20% stated they knew they do but did not know how, and 38% reported knowing how they use it but not how to develop appropriate technologies for them. In practice, 13% reported having developed technologies for this group at some point, and only 3% stated they always do so;
* Among IT managers, 54% reported having interacted with people with disabilities; on average, 27% indicated they did not know that people with disabilities could use the Web, 30% stated they knew they do but did not know how, 28% reported knowing how they use it but not how to adapt technologies, 12% stated they had developed technologies for this group, and only 3% reported always doing so;
* Regarding knowledge of assistive technologies (such as JAWS, NVDA, VoiceOver, TalkBack, Dragon, text readers, screen magnifiers, Braille, eye tracking, and alternative devices), on average, 42% of technical professionals reported being aware of these technologies, 7% had used them, and 50% were not familiar with them; among managers, 41% reported awareness, 9% had used them, and 50% were not familiar;
* Regarding international accessibility guidelines and standards (WCAG, UAAG, ARIA, ISO 9241-210, ISO 30071, and KDAF), on average, 77% of technical professionals reported never having heard of these standards, 10% had seen someone apply them, 8% had read about them, 4% had applied them on their own initiative, and only one participant reported applying them due to regulatory requirements. No technical professional reported systematically applying these standards;
* Among IT managers, on average, 66% reported never having heard of international accessibility standards, 15% had seen someone apply them, 11% had read about them, 2% had applied them on their own initiative, 5% reported applying them due to regulatory requirements, and only one participant reported always applying them;
* Regarding challenges in considering accessibility during development, 68% of IT professionals identified lack of awareness as the main barrier, 49% pointed to lack of skills or knowledge, and 49% mentioned lack of training;
* When asked about factors that could improve the adoption and implementation of accessibility, 82% indicated the need for awareness and training for web developers, and 41% suggested including the topic in undergraduate and postgraduate education;
* When asked whether they knew how to assess whether accessibility requirements were met in contracted projects, 12.2% of managers stated they were capable of performing such evaluation, while 87.8% reported having only some idea or not knowing how to do it;
* To assess the level of technical knowledge about accessibility, technical professionals answered a set of questions related to the implementation of WCAG POUR principles during the design and development phases, as presented in Table 18.
</t>
  </si>
  <si>
    <t xml:space="preserve">* 47% of IT professionals working in development, UI/UX, usability, and/or accessibility pursued training on their own initiative, indicating a gap between the demand for qualification and the support provided by organizations (on average, only 10% receive employer-supported training);
* When asked about factors motivating the consideration of accessibility in software development, 72% of IT professionals indicated personal/ethical motivation as the main factor, 56% mentioned social responsibility, 32% cited organizational requirements and 32% client requirements, 23% indicated business reasons, 8% mentioned legal obligations, and 11% stated they did not know why accessibility should be considered;
* Regarding challenges in considering accessibility during development, 41% pointed to time constraints;
* When asked about factors that could improve the adoption and implementation of accessibility, 50% mentioned empathy/equal rights, 47% cited enforcement of legislation, 46% organizational requirements, 40% managerial support, and 35% economic benefits;
* Among projects developed by organizations, 28.4% are developed in-house, 12% involve other procurement formats, and 17.6% of respondents reported not knowing the acquisition methods used by their companies;
* 47.3% of companies have never received or contracted a project from a Kuwait-based company that included accessibility requirements, 23% reported that they have, and 29.7% did not know;
* In the final decision-making process for externally contracted projects, 56.75% of managers reported having authoritative input, 27% reported being rarely involved, and 16.2% stated they had no involvement. Final decision-makers included CEOs/General Managers, associates, IT directors or managers, sales/procurement departments, and project managers;
* Regarding hiring external agencies for accessibility testing, 67.6% of managers reported not engaging in this practice, 14.9% said they do, and 17.6% did not know whether it occurs in their organization;
* When asked about how often accessibility is discussed during projects, 47.3% of managers reported that it is not discussed, 12.2% said it is mentioned at most once, 35% indicated it arises occasionally or at key points, and 5.4% reported that it is discussed in every meeting;
* Among technical professionals, 42.8% reported that companies or clients always require websites to be accessible, 16.5% said this requirement sometimes exists, and 41% stated that it is never considered;
* When asked who is responsible for making websites accessible, 69% indicated web developers, 44% systems analysts, 43% IT managers, 44% internal accessibility specialists, and 3% mentioned other roles, including senior management and UX designers;
* Regarding the development stages in which accessibility is considered or tested, 33% indicated the requirements analysis phase, 42% the initial design phase (wireframes), 19.7% high-fidelity design, 38.5% development, 56% testing, 4.4% final approval, and 12% after website deployment.
</t>
  </si>
  <si>
    <t xml:space="preserve">* On average, approximately 15% of participants reported having used some form of assistive technology, indicating low practical familiarity with these tools;
* Regarding technology project acquisition processes within organizations, 43.2% of projects are obtained through Request for Information (RFI), Request for Quotation (RFQ), or Request for Proposal (RFP);
* Regarding automated accessibility testing tools, 19.78% of participants reported being familiar with AChecker, 26.37% with WAVE, 5.49% with TAW, 4.40% with SortSite, 10.99% with aXe, and 45.05% mentioned other tools; among the responses, 31 participants reported not being familiar with any of these tools, and some mentioned general testing tools such as Selenium.
</t>
  </si>
  <si>
    <t>10.1007/s10209-025-01210-w</t>
  </si>
  <si>
    <t>Evaluating and monitoring digital accessibility: practitioners’ perspectives on challenges and opportunities</t>
  </si>
  <si>
    <t xml:space="preserve">* Current challenges include lack of awareness, complex development processes, and compliance gaps;
* Mobile development is complex due to device diversity, varied contexts, and lack of standardization;
* Mobile accessibility evaluation presents unique challenges and involves subjectivity in analysis;
* Automated testing tools face limitations and complexity in mobile environments;
* There is a lack of specialized tools for testing accessibility in mobile applications;
* Accessibility requirements can be contradictory and difficult to interpret;
* Accessibility criteria vary across platforms, making standardization difficult;
* Automated tools may produce misleading results and do not fully cover accessibility issues;
* Automated testing does not fully replace manual testing;
* AI systems have limitations and depend on data quality and human guidance;
* AI struggles to interpret human judgment and automatically generated content;
* There are risks associated with AI use, including the spread of incorrect or harmful information;
* There have been improvements in web accessibility due to legislation, but challenges remain in implementation and enforcement;
* Accessibility reports are complex and not very useful for developers, making practical action difficult;
* The absence of accessibility statements is a significant barrier to digital accessibility;
* There are challenges related to additional requirements from the EN 301 549 standard and its dependency on WCAG;
* The complexity of EN 301 549 requirements creates difficulties for adoption;
* There is confusion in interpreting compliance standards and difficulty in practical application;
* The complexity and low usability of EN 301 549 hinder its practical adoption;
* Generating accessibility reports requires a high level of technical expertise;
* Developers and designers must invest additional effort and time to ensure full accessibility in components.
</t>
  </si>
  <si>
    <t xml:space="preserve">* Digital accessibility training occurs through different approaches, including self-learning and on-the-job learning;
* Most participants acquired knowledge in digital accessibility through self-learning;
* There is a lack of high-quality courses in digital accessibility and insufficient coverage of the topic in existing programs;
* There is a shortage of qualified professionals in digital accessibility;
* Understanding digital accessibility requires broad knowledge, including a deep understanding of different disabilities;
* The effectiveness of automated testing depends on proper training and awareness of accessibility among those involved;
* There is a critical need to increase awareness and understanding of accessibility;
* There is a generally low level of awareness about disability and accessibility, indicating the need for greater understanding;
* Developers should keep up with technological trends and understand the diverse needs of users;
* Developers should stay up to date, participate in communities, and adapt to changes in user needs.
</t>
  </si>
  <si>
    <t xml:space="preserve">* Developers advocate for more unified interpretations of WCAG guidelines and updates to standards;
* The intersection between AI and accessibility requires attention to human and ethical aspects;
* There is a need to integrate accessibility into university curricula to improve professional training;
* Accessibility should be treated as a core part of the curriculum, not as an add-on;
* Accessibility education should be incorporated not only for developers but also for designers;
* It is important to teach universal design principles from the beginning of education;
* Courses should broaden the understanding of accessibility beyond disabilities, including usability aspects;
* Developers recognize the existence of standards (e.g., WCAG 2.1) but question their adequacy for mobile applications;
* There is optimism regarding the improvement of accessibility requirements through collaboration and standardization at the European level;
* Participants show confidence in the potential of AI to improve accessibility;
* AI can have a transformative impact on accessibility and expand possibilities for users with disabilities;
* There is a need for stricter enforcement of accessibility laws;
* Lack of knowledge on how to file complaints reduces the effectiveness of reporting mechanisms;
* There is a need to revise standards to make them more accessible and easier to apply;
* Budget constraints impact the ability to evaluate and implement accessibility;
* High costs hinder accessibility adoption, especially for small organizations;
* Organizations may misrepresent compliance and overestimate their accessibility readiness;
* Participants acknowledged the complexity of digital accessibility;
* It is important to expand discussions on accessibility beyond the digital context;
* Integrating accessibility into the corporate context is an ongoing process that requires internal expertise, training, and practical experience;
* Practical experience, continuous awareness, and embedding accessibility into daily processes are essential factors;
* Management support and developer responsibility are key to implementing accessibility in organizations;
* There is a need to change developers’ perceptions of accessibility, emphasizing early training and strict adherence to standards;
* Accessibility should be considered from the beginning of development, not only after the system is complete.
</t>
  </si>
  <si>
    <t xml:space="preserve">* Accessibility evaluation practices are still predominantly manual and based on WCAG 2.1 guidelines;
* Tools such as WAVE and Axe are used as support in accessibility evaluation;
* Developers emphasize the importance of strategies to prevent accessibility barriers when using AI;
* Research opportunities include mobile accessibility, refinement of AI-based evaluation techniques, and improvement of WCAG compliance criteria;
* There is a need for more specific guidelines for mobile accessibility;
* Manual testing is preferred for evaluating accessibility in mobile applications;
* Standards such as WCAG, EN 301 549, and specific methodologies are used for mobile accessibility testing;
* Tools such as Selenium are used to accelerate data collection in accessibility evaluations;
* Automated testing is useful for analyzing large volumes of content but is not sufficient on its own;
* Manual testing is widely recognized as the standard for identifying accessibility issues;
* Manual testing enables deeper analysis of user experience and WCAG compliance;
* Manual testing with users, although time-consuming, is the most reliable way to validate accessibility;
* Practical applications of AI include document transformation, interpretation of visual content, and identification of unlabeled elements;
* AI can improve the quality of reports and simplify accessibility implementation;
* AI can support test automation and facilitate accessibility audits;
* AI can generate recommendations and code to fix accessibility issues;
* AI can support assistive technologies such as screen readers, voice recognition, and computer vision;
* Manual testing remains irreplaceable compared to automated evaluations;
* Participants emphasize the importance of ensuring inclusion and accessibility in AI from the design stage;
* There is a need for regulations to guide the responsible use of AI in accessibility;
* Developers should actively participate in the creation of accessibility standards and regulations.
</t>
  </si>
  <si>
    <t>10.1007/978-3-031-35992-7_38</t>
  </si>
  <si>
    <t>Awareness, Understanding, and Attitudes of Digital Accessibility in Technology Professionals</t>
  </si>
  <si>
    <t xml:space="preserve">* A significant portion of participants reported knowing someone with a disability (43%), while others did not (38%) or preferred not to respond (18%);
* Most participants perceived an increase in the prioritization of digital accessibility (63%), while 23% did not notice any change and 12% were unsure;
* Most participants also perceived changes in attitudes toward digital accessibility (62%), while 25% did not notice changes and 14% were unsure;
</t>
  </si>
  <si>
    <t xml:space="preserve">* The most commonly used resources include WCAG guidelines (12%), built-in accessibility tools (11%), non-academic tools (7%), and video tutorials (7%);
* The most commonly used tools include browser extensions (15%), web inspection tools (14%), contrast checkers (13%), code validators (8%), and color blindness simulators (7%);
* The most commonly used assistive technologies include keyboards (19%), the VoiceOver screen reader (13%), screen magnifiers (10%), and the NVDA screen reader (10%);
* Most professionals are highly likely to seek online resources for digital accessibility (65%), while only a few would not use such resources;
* Professionals also tend to seek help from companies or individuals, with 33% extremely likely and 27% moderately likely;
* Professionals show willingness to seek help directly from people with disabilities, with 38% extremely likely and 31% moderately likely.
</t>
  </si>
  <si>
    <t>10.1016/j.jss.2021.110942</t>
  </si>
  <si>
    <t>Accessibility in the mobile development industry in Brazil: Awareness, knowledge, adoption, motivations and barriers</t>
  </si>
  <si>
    <t xml:space="preserve">* The main barriers include: absence of accessibility requirements (36%), lack of time (32.6%), lack of training (28.9%), and absence of organizational requirements (23.3%);
* Other barriers include: low public awareness (23.1%), limited development for users with disabilities (19.3%), perceived low impact (15.1%), conflicts with design (9.7%), lack of knowledge (3.3%), and absence of standards (0.9%);
* The main barrier in micro and small organizations is high cost;
* Lack of training and knowledge is more frequent in micro and small organizations;
* For public organizations, the main barriers are: absence of accessibility requirements, lack of training, and lack of knowledge;
* For private organizations and freelancers, the main barriers are: accessibility not being a requirement, lack of time, and lack of training.
</t>
  </si>
  <si>
    <t xml:space="preserve">* Almost all participants know that users with visual impairments can use mobile applications (99%), and most know how they do so (85.9%), but only 57.3% know how to develop accessible apps;
* The most well-known assistive technologies include voice navigation (71.4%), screen magnification (66.4%), increased contrast (54.5%), and screen readers (36.1%);
* Other assistive technologies (e.g., haptic feedback, color and font adjustments) are poorly known (&lt;1%), and some participants are not familiar with any (3.7%);
* Most participants are not familiar with accessibility guidelines, with emphasis on WCAG (33.8%), Apple UIKit (29.7%), and Google Material Design (27.1%), while few are aware of Brazilian guidelines (5.5% and 3.3%);
* A significant portion of participants do not know any accessibility guideline (25.1%);
* Most participants have only superficial knowledge of accessibility guidelines, with 29.7% having only read about them and 22.7% having only heard about them;
* Few participants have strong theoretical (6.8%) or practical (15.7%) knowledge of accessibility;
* Knowledge of accessibility is mainly acquired through lectures (34.4%), courses (17%), online materials (14.1%), and undergraduate education (11.5%);
* Other learning sources include colleagues (4.6%), design courses (4.2%), platform documentation (3.7%), and postgraduate studies (2.6%);
* Very few participants learn about accessibility through interaction with people with disabilities (1.6%) or development courses (1.3%);
* A significant portion of participants did not acquire accessibility knowledge from any source (28.2%);
* There is no significant difference across roles regarding technical knowledge and awareness of accessibility (e.g., use by blind users and accessible development);
* There is also no significant difference across roles regarding knowledge of accessibility guidelines;
* There is a slight tendency for designers to have greater knowledge of accessibility guidelines;
* Professional experience influences knowledge: more experienced participants demonstrate greater understanding of accessibility;
* Technical knowledge of how to develop accessible apps increases significantly with years of experience;
* Knowledge of accessibility guidelines also increases significantly with years of experience;
* Few participants are familiar with BBC accessibility guidelines, with more common familiarity related to platform guidelines such as iOS (UIKit) and Android (Material Design);
* Knowledge of accessibility guidelines increases with professional experience (with the exception of e-MAG and BBC);
* Participants with both theoretical and practical knowledge tend to adopt accessibility more frequently (34% partially and 57.2% fully);
* Participants with superficial knowledge adopt accessibility less frequently (19% partially and only 6% fully);
* Recommendation of specific guidelines increases with experience;
* More experienced participants use more accessibility evaluation methods;
* The use of Accessibility Inspector is higher among more experienced developers.
</t>
  </si>
  <si>
    <t xml:space="preserve">* Professionals working in larger companies tend to have greater awareness and practical knowledge of accessibility guidelines;
* Professionals in private companies show greater awareness of users and technical accessibility aspects, while those in public organizations have slightly more theoretical and practical knowledge;
* Freelancers and developers working on personal projects show lower overall levels of knowledge and awareness of accessibility;
* iOS developers demonstrate greater awareness and knowledge of accessibility compared to Android or cross-platform developers;
* Designers have greater knowledge of WCAG, while testers are more familiar with the Brazilian Accessibility Model (e-MAG);
* Professionals in larger companies tend to have greater knowledge of accessibility guidelines;
* There are significant differences in knowledge of WCAG and platform guidelines depending on organization size;
* iOS developers have greater knowledge of accessibility guidelines compared to Android or cross-platform developers;
* iOS developers have much greater knowledge of platform-specific guidelines (UIKit) than Android developers (Material Design);
* Accessibility adoption in projects is still low: 35.6% adopt it minimally and 27.9% do not adopt it at all;
* Only 22.2% adopt accessibility partially and just 14.3% adopt it fully;
* Designers adopt accessibility guidelines more than other professionals;
* There are significant differences across roles in the adoption of WCAG and platform guidelines;
* There are significant differences in the adoption of WCAG and platform guidelines depending on experience;
* There is no significant difference in the adoption of BBC and e-MAG guidelines across experience levels;
* There is no significant difference in the adoption of accessibility guidelines across companies of different sizes;
* Larger companies show higher levels of accessibility adoption, especially regarding platform-specific guidelines;
* Despite lower knowledge, participants from public organizations show significantly higher adoption of e-MAG;
* iOS developers, even with lower knowledge in some cases, demonstrate higher practical adoption of accessibility;
* Testers use manual and user-based evaluation methods more frequently than other roles;
* Designers use manual inspections and user evaluations more frequently than other roles;
* Larger companies use more accessibility evaluation methods;
* Freelancers use significantly fewer user-based evaluations;
* Accessibility evaluation using manual and user-based methods is more common in iOS development than in Android or cross-platform development;
* The adoption of accessibility tools increases with experience, organization size, and knowledge of accessibility;
* The main motivations for developing accessibility are social inclusion (55%) and improving user experience (33.1%);
* Many participants are motivated by accessibility being part of project requirements (28.2%);
* Accessibility can enhance project reputation (27.1%) and user engagement (18.2%);
* Some participants are motivated by legal requirements (17.9%);
* Professionals in larger companies tend to have more motivations to implement accessibility;
* Larger companies are more motivated by legislation, expanding user reach, organizational requirements, and digital inclusion;
* Public organizations are more motivated by legislation and digital inclusion;
* Developers of personal projects are less motivated by organizational requirements and legislation;
* Participants without organizational ties (freelancers) do not mention organizational requirements as a barrier.
</t>
  </si>
  <si>
    <t xml:space="preserve">* More than half of the participants (54%) do not use any accessibility guidelines;
* Among those who do, the most common guidelines are WCAG (22.9%), UIKit (19.3%), Material Design (16.7%), e-MAG (2.3%), BBC (1.3%), and GUAMA (0.1%);
* Even with knowledge and awareness, many participants do not apply specific guidelines in practice;
* The majority of participants (56%) do not use any accessibility evaluation method;
* Among those who do, methods include: testing with people with disabilities (25.6%), testing with general users (6.1%), guided inspections (15.8%), manual evaluation (17.1%), use of assistive tools (14.1%), third-party evaluation (7%), and expert review (0.1%);
* Most developers do not use tools for accessibility testing (50%);
* The most commonly used tools are Espresso (10.6%), Accessibility Scanner (10%), UiAutomator (9.5%), KIF (6.5%), Robotium (4.8%), Monkey (4.6%), Mobile Accessibility Checker (2.5%), and XCTest (1%).
</t>
  </si>
  <si>
    <t>10.1145/3503508</t>
  </si>
  <si>
    <t>Accessibility in Software Practice: A Practitioner's Perspective</t>
  </si>
  <si>
    <t xml:space="preserve">* Implementing accessibility requires multiple skills (from interface to architecture), increasing complexity;
* Lack of specific skills makes accessibility more difficult (~26% agree);
* Requirements elicitation is challenging due to ambiguity and lack of clarity (~34% agree);
* Accessibility demands greater technical effort (hardware + software + design);
* Guidelines are difficult for beginners to apply;
* Ensuring accessibility may conflict with other quality attributes (e.g., security, performance).
</t>
  </si>
  <si>
    <t xml:space="preserve">* Professionals understand accessibility in alignment with ISO 9241, focusing on expanding the user base and improving usability (25% agree, 14% strongly agree);
* Developers with direct experience in accessibility believe it should be incorporated into all projects;
* Developers often do not receive structured training in accessibility;
* Many professionals are familiar with guidelines but struggle to identify requirements in practice (~23% strongly agree).
</t>
  </si>
  <si>
    <t xml:space="preserve">* Accessibility is seen as not yet well integrated into current projects, especially in small teams (~21% agree, 8% strongly agree);
* Accessibility is not an isolated activity—it should be integrated across multiple stages of development (~72% agree/strongly agree);
* Accessibility should be considered throughout the entire software lifecycle;
* Accessibility requirements are dynamic and evolve over time, potentially becoming core features;
* Developers without experience tend to perceive accessibility as a secondary and time-consuming task;
* Accessibility increases the complexity of communication with clients and stakeholders (~30% agree);
* Organizational culture, leadership, and structure strongly impact the adoption of accessibility;
* Accessibility is highly context-dependent (~34% agree);
* Large companies have more resources and tend to prioritize accessibility;
* Small companies often neglect accessibility due to lack of resources, time, and knowledge;
* Lack of early planning makes later integration more difficult;
* Systems often do not consider accessibility from the beginning;
* Mobile developers perceive guidelines as unclear and view accessibility as costly and low priority;
* Web developers tend to focus more on accessibility design and testing.
</t>
  </si>
  <si>
    <t xml:space="preserve">* Techniques such as ML/AI are being used to support requirements elicitation;
* WCAG remains the dominant standard in practice;
* Accessibility evaluation is essential to ensure quality;
* Automated tools are helpful but not sufficient on their own;
* Manual and user-based testing are essential;
* Tools such as ANDI, Accessibility Scanner, and HearSee help reduce manual effort;
* There is still a need for better tools and stronger technical support.
</t>
  </si>
  <si>
    <t>10.48550/arXiv.2412.16321</t>
  </si>
  <si>
    <t>XR for All: Understanding Developers’ Perspectives on Accessibility Integration in Extended Reality</t>
  </si>
  <si>
    <t xml:space="preserve">* XR introduces tensions between immersive experience and accessibility (~50% (12/25) reported this conflict);
* Developers tend to prioritize immersion (e.g., visual effects), even when this excludes users with disabilities;
* Accessibility may be perceived as a threat to the core qualities of XR;
* XR interfaces create additional barriers (e.g., hard-to-read text, interaction precision, tracking issues);
* 2D solutions are not directly transferable to XR;
* There is a lack of standards for accessibility in XR (e.g., reading 3D text);
* XR offers limited representation of diverse bodies, creating inclusion barriers;
* XR requires high performance, which makes accessibility implementation more challenging;
* Accessible features may impact performance (e.g., computational overhead).
</t>
  </si>
  <si>
    <t xml:space="preserve">* Novice XR users face significant difficulties, especially those with disabilities—QP1 (17/25 without formal training);
* Lack of knowledge reduces the ability to implement accessibility;
* More experienced developers demonstrate greater maturity in accessibility.
</t>
  </si>
  <si>
    <t xml:space="preserve">* Devices are often designed for a “standard user,” failing to account for diversity;
* Accessibility strongly depends on the organizational context (~34% agree);
* Large companies have more resources and tend to prioritize accessibility;
* Small companies often neglect accessibility due to limited resources;
* Accessibility requires architectural decisions from the early stages;
* Lack of early planning makes later implementation more difficult;
* Late refactoring increases cost and complexity;
* Mobile developers perceive guidelines as unclear and consider accessibility costly and secondary;
* Web developers tend to place more emphasis on accessibility (design + testing);
* Accessibility is often not an organizational priority (15 participants cited cost as the main factor);
* Companies focus on ROI and usage metrics;
* Legal pressure can influence decisions;
* Large companies tend to avoid external dependencies (due to risk and compliance concerns).
</t>
  </si>
  <si>
    <t xml:space="preserve">* Developers reuse code and templates to accelerate accessibility implementation;
* There is a lack of testing with people with disabilities;
* Developers often use generic users as substitutes in testing;
* Automated testing does not cover real user needs;
* Current guidelines (WCAG) are focused on 2D and are less applicable to XR;
* There is a lack of specific guidelines for XR;
* Developers rely on native platform features (e.g., iOS and XR frameworks);
* AI is used to generate accessible content (e.g., alternative text);
* There is a lack of tools integrated into the development workflow—developers prefer pluggable, open-source solutions that integrate with existing frameworks;
* The use of third-party libraries is common but depends on the organizational context (11 participants);
* AI can support accessibility, but it still has limitations.
</t>
  </si>
  <si>
    <t>https://doi.org/10.1016/j.jss.2021.111213</t>
  </si>
  <si>
    <t>Preventing accessibility barriers: Guidelines for using user interface design patterns in mobile applications</t>
  </si>
  <si>
    <t xml:space="preserve">It does not meet the criteria, as the study is based on a gray literature review and does not directly investigate developers’ challenges, perceptions, or practices in implementing accessibility in interactive systems.
</t>
  </si>
  <si>
    <t>10.48550/arXiv.2508.02968</t>
  </si>
  <si>
    <t>Developer Perceptions on Utilising Low-Code Approaches to Build Accessible and Adaptive Applications for Senior</t>
  </si>
  <si>
    <t xml:space="preserve">* Manual data collection is difficult and intrusive (n = 5);
* Older users have difficulty providing data;
* Manual modeling is repetitive and not scalable;
* Lack of metadata is a key issue (n = 4);
* It increases cognitive load in design (n = 4);
* It reduces code readability (n = 3);
* Code size grows significantly with personalization (n = 6);
* Maintenance becomes more complex;
* Versioning is difficult (e.g., multiple adapted versions) (n = 2);
* Mobile devices limit adaptive applications;
* Applications become larger with adaptation;
* App stores introduce delays in deployment;
* Testing becomes more complex (multiple scenarios);
* Test automation is difficult;
* Test scripts do not scale well.
</t>
  </si>
  <si>
    <t xml:space="preserve">* AdaptForge improves user experience (n = 13);
* Developers value user context modeling;
* Empathy toward users with disabilities is the main motivation (15/18);
* Personal experience influences more than professional obligation;
* Regulation (e.g., EU) drives accessibility adoption;
* A tree structure (3 levels) facilitates usability (9/15 participants);
* A JSON-based DSL is well accepted (11 participants);
* Familiarity with JSON supports adoption;
* Textual DSL is preferred by developers;
* Graphical models are less preferred;
* The tool is perceived as flexible and extensible;
* Limiting the tool to older adults reduces its applicability (6 participants);
* DSL combined with comments helps improve understanding (n = 5).
</t>
  </si>
  <si>
    <t xml:space="preserve">* Reducing initial data collection improves usability;
* Progressive data collection is recommended;
* A universal context platform enables reuse across applications;
* Group-based modeling reduces complexity;
* Combining DSL with visual elements may improve adoption;
* The tool can be used for prototyping and simulation;
* A generic positioning increases adoption;
* Documentation improves awareness of accessibility;
* Generating analytical summaries is desirable;
* Code generation reduces manual effort (n = 11);
* Context-aware automatic suggestions are desirable (n = 7);
* Code separation improves maintainability (n = 5);
* The use of placeholders reduces duplication;
* Server-side code generation reduces local processing load;
* OTA updates enable dynamic adaptation;
* Separating UI from logic reduces impact;
* The tool can be used as a testing sandbox.
</t>
  </si>
  <si>
    <t>10.1007/s10209-013-0309-0</t>
  </si>
  <si>
    <t>Enabling user interface developers to experience accessibility limitations through visual, hearing, physical and cognitive impairment simulation</t>
  </si>
  <si>
    <t xml:space="preserve">Does not meet the criteria, as the study proposes and evaluates an accessibility simulation tool, rather than directly investigating developers’ challenges, perceptions, or practices in implementing accessibility.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</si>
</sst>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Helvetica Neue"/>
    </font>
    <font>
      <b/>
      <color rgb="FF434343"/>
      <name val="Helvetica Neue"/>
    </font>
    <font>
      <color rgb="FF434343"/>
      <name val="Helvetica Neue"/>
    </font>
    <font>
      <color rgb="FF11734B"/>
      <name val="Helvetica Neue"/>
    </font>
    <font>
      <color theme="1"/>
      <name val="Arial"/>
    </font>
    <font>
      <u/>
      <color rgb="FF434343"/>
      <name val="Helvetica Neue"/>
    </font>
    <font>
      <u/>
      <color rgb="FF434343"/>
      <name val="Helvetica Neue"/>
    </font>
    <font>
      <color rgb="FFB10202"/>
      <name val="Helvetica Neue"/>
    </font>
    <font>
      <color rgb="FF0A53A8"/>
      <name val="Helvetica Neue"/>
    </font>
    <font>
      <u/>
      <color rgb="FF434343"/>
      <name val="Helvetica Neue"/>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center" shrinkToFit="0" vertical="center" wrapText="0"/>
    </xf>
    <xf borderId="2" fillId="2" fontId="3" numFmtId="0" xfId="0" applyAlignment="1" applyBorder="1" applyFont="1">
      <alignment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horizontal="center" shrinkToFit="0" vertical="center" wrapText="0"/>
    </xf>
    <xf borderId="2" fillId="2" fontId="3" numFmtId="0" xfId="0" applyAlignment="1" applyBorder="1" applyFont="1">
      <alignment shrinkToFit="0" vertical="center" wrapText="0"/>
    </xf>
    <xf borderId="2" fillId="2" fontId="4" numFmtId="0" xfId="0" applyAlignment="1" applyBorder="1" applyFont="1">
      <alignment readingOrder="0" shrinkToFit="0" vertical="center" wrapText="0"/>
    </xf>
    <xf borderId="2" fillId="2" fontId="5" numFmtId="0" xfId="0" applyAlignment="1" applyBorder="1" applyFont="1">
      <alignment shrinkToFit="0" vertical="center" wrapText="0"/>
    </xf>
    <xf borderId="2" fillId="2" fontId="3" numFmtId="0" xfId="0" applyAlignment="1" applyBorder="1" applyFont="1">
      <alignment horizontal="center" readingOrder="0" shrinkToFit="0" vertical="center" wrapText="0"/>
    </xf>
    <xf borderId="2" fillId="2" fontId="6" numFmtId="0" xfId="0" applyAlignment="1" applyBorder="1" applyFont="1">
      <alignment shrinkToFit="0" vertical="center" wrapText="0"/>
    </xf>
    <xf borderId="3" fillId="3" fontId="2" numFmtId="0" xfId="0" applyAlignment="1" applyBorder="1" applyFill="1" applyFont="1">
      <alignment horizontal="center" shrinkToFit="0" vertical="center" wrapText="0"/>
    </xf>
    <xf borderId="4" fillId="3" fontId="3" numFmtId="0" xfId="0" applyAlignment="1" applyBorder="1" applyFont="1">
      <alignment shrinkToFit="0" vertical="center" wrapText="0"/>
    </xf>
    <xf borderId="4" fillId="3" fontId="3" numFmtId="0" xfId="0" applyAlignment="1" applyBorder="1" applyFont="1">
      <alignment readingOrder="0" shrinkToFit="0" vertical="center" wrapText="0"/>
    </xf>
    <xf borderId="4" fillId="3" fontId="3" numFmtId="0" xfId="0" applyAlignment="1" applyBorder="1" applyFont="1">
      <alignment horizontal="center" shrinkToFit="0" vertical="center" wrapText="0"/>
    </xf>
    <xf borderId="4" fillId="3" fontId="3" numFmtId="0" xfId="0" applyAlignment="1" applyBorder="1" applyFont="1">
      <alignment shrinkToFit="0" vertical="center" wrapText="0"/>
    </xf>
    <xf borderId="4" fillId="3" fontId="4" numFmtId="0" xfId="0" applyAlignment="1" applyBorder="1" applyFont="1">
      <alignment readingOrder="0" shrinkToFit="0" vertical="center" wrapText="0"/>
    </xf>
    <xf borderId="4" fillId="3" fontId="5" numFmtId="0" xfId="0" applyAlignment="1" applyBorder="1" applyFont="1">
      <alignment shrinkToFit="0" vertical="center" wrapText="0"/>
    </xf>
    <xf borderId="4" fillId="3" fontId="3" numFmtId="0" xfId="0" applyAlignment="1" applyBorder="1" applyFont="1">
      <alignment horizontal="center" readingOrder="0" shrinkToFit="0" vertical="center" wrapText="0"/>
    </xf>
    <xf borderId="4" fillId="3" fontId="7" numFmtId="0" xfId="0" applyAlignment="1" applyBorder="1" applyFont="1">
      <alignment shrinkToFit="0" vertical="center" wrapText="0"/>
    </xf>
    <xf borderId="2" fillId="2" fontId="5" numFmtId="0" xfId="0" applyAlignment="1" applyBorder="1" applyFont="1">
      <alignment readingOrder="0" shrinkToFit="0" vertical="center" wrapText="0"/>
    </xf>
    <xf borderId="2" fillId="2" fontId="5" numFmtId="0" xfId="0" applyAlignment="1" applyBorder="1" applyFont="1">
      <alignment shrinkToFit="0" vertical="center" wrapText="0"/>
    </xf>
    <xf borderId="2" fillId="2" fontId="8" numFmtId="0" xfId="0" applyAlignment="1" applyBorder="1" applyFont="1">
      <alignment readingOrder="0" shrinkToFit="0" vertical="center" wrapText="0"/>
    </xf>
    <xf borderId="4" fillId="3" fontId="5" numFmtId="0" xfId="0" applyAlignment="1" applyBorder="1" applyFont="1">
      <alignment readingOrder="0" shrinkToFit="0" vertical="center" wrapText="0"/>
    </xf>
    <xf borderId="4" fillId="3" fontId="9" numFmtId="0" xfId="0" applyAlignment="1" applyBorder="1" applyFont="1">
      <alignment shrinkToFit="0" vertical="center" wrapText="0"/>
    </xf>
    <xf borderId="4" fillId="3" fontId="8" numFmtId="0" xfId="0" applyAlignment="1" applyBorder="1" applyFont="1">
      <alignment readingOrder="0" shrinkToFit="0" vertical="center" wrapText="0"/>
    </xf>
    <xf borderId="5" fillId="2" fontId="2" numFmtId="0" xfId="0" applyAlignment="1" applyBorder="1" applyFont="1">
      <alignment horizontal="center" shrinkToFit="0" vertical="center" wrapText="0"/>
    </xf>
    <xf borderId="6" fillId="2" fontId="3" numFmtId="0" xfId="0" applyAlignment="1" applyBorder="1" applyFont="1">
      <alignment shrinkToFit="0" vertical="center" wrapText="0"/>
    </xf>
    <xf borderId="6" fillId="2" fontId="5" numFmtId="0" xfId="0" applyAlignment="1" applyBorder="1" applyFont="1">
      <alignment readingOrder="0" shrinkToFit="0" vertical="center" wrapText="0"/>
    </xf>
    <xf borderId="6" fillId="2" fontId="3" numFmtId="0" xfId="0" applyAlignment="1" applyBorder="1" applyFont="1">
      <alignment horizontal="center" shrinkToFit="0" vertical="center" wrapText="0"/>
    </xf>
    <xf borderId="6" fillId="2" fontId="5" numFmtId="0" xfId="0" applyAlignment="1" applyBorder="1" applyFont="1">
      <alignment shrinkToFit="0" vertical="center" wrapText="0"/>
    </xf>
    <xf borderId="6" fillId="2" fontId="8" numFmtId="0" xfId="0" applyAlignment="1" applyBorder="1" applyFont="1">
      <alignment readingOrder="0" shrinkToFit="0" vertical="center" wrapText="0"/>
    </xf>
    <xf borderId="6" fillId="2" fontId="5" numFmtId="0" xfId="0" applyAlignment="1" applyBorder="1" applyFont="1">
      <alignment shrinkToFit="0" vertical="center" wrapText="0"/>
    </xf>
    <xf borderId="6" fillId="2" fontId="3" numFmtId="0" xfId="0" applyAlignment="1" applyBorder="1" applyFont="1">
      <alignment horizontal="center" readingOrder="0" shrinkToFit="0" vertical="center" wrapText="0"/>
    </xf>
    <xf borderId="6" fillId="2" fontId="10"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30" displayName="Tabela_1" name="Tabela_1" id="1">
  <tableColumns count="13">
    <tableColumn name="ID" id="1"/>
    <tableColumn name="DOI" id="2"/>
    <tableColumn name="TITLE" id="3"/>
    <tableColumn name="CONTEXT (COUNTRY OR REGION)" id="4"/>
    <tableColumn name="PUBLICATION YEAR" id="5"/>
    <tableColumn name="QUALITY CRITERIA" id="6"/>
    <tableColumn name="INCLUSION DECISION" id="7"/>
    <tableColumn name="Challenges" id="8"/>
    <tableColumn name="RQ1" id="9"/>
    <tableColumn name="RQ2" id="10"/>
    <tableColumn name="RQ3" id="11"/>
    <tableColumn name="Motivo de reprovação:" id="12"/>
    <tableColumn name="PDF" id="13"/>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jss.2021.111213"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8.63"/>
    <col customWidth="1" min="5" max="5" width="20.88"/>
    <col customWidth="1" min="6" max="6" width="25.75"/>
    <col customWidth="1" min="7" max="7" width="24.0"/>
    <col customWidth="1" min="8" max="8" width="16.5"/>
    <col customWidth="1" min="9" max="9" width="24.88"/>
    <col customWidth="1" min="10" max="10" width="19.0"/>
    <col customWidth="1" min="11" max="11" width="33.25"/>
    <col customWidth="1" min="12" max="12" width="31.0"/>
  </cols>
  <sheetData>
    <row r="1" ht="24.0" customHeight="1">
      <c r="A1" s="1" t="s">
        <v>0</v>
      </c>
      <c r="B1" s="2" t="s">
        <v>1</v>
      </c>
      <c r="C1" s="2" t="s">
        <v>2</v>
      </c>
      <c r="D1" s="2" t="s">
        <v>3</v>
      </c>
      <c r="E1" s="1" t="s">
        <v>4</v>
      </c>
      <c r="F1" s="2" t="s">
        <v>5</v>
      </c>
      <c r="G1" s="2" t="s">
        <v>6</v>
      </c>
      <c r="H1" s="2" t="s">
        <v>7</v>
      </c>
      <c r="I1" s="2" t="s">
        <v>8</v>
      </c>
      <c r="J1" s="2" t="s">
        <v>9</v>
      </c>
      <c r="K1" s="2" t="s">
        <v>10</v>
      </c>
      <c r="L1" s="2" t="s">
        <v>11</v>
      </c>
      <c r="M1" s="2" t="s">
        <v>12</v>
      </c>
    </row>
    <row r="2" ht="24.0" customHeight="1">
      <c r="A2" s="3">
        <v>18.0</v>
      </c>
      <c r="B2" s="4" t="s">
        <v>13</v>
      </c>
      <c r="C2" s="4" t="s">
        <v>14</v>
      </c>
      <c r="D2" s="5" t="s">
        <v>15</v>
      </c>
      <c r="E2" s="6">
        <v>2018.0</v>
      </c>
      <c r="F2" s="7" t="s">
        <v>16</v>
      </c>
      <c r="G2" s="8" t="s">
        <v>17</v>
      </c>
      <c r="H2" s="9"/>
      <c r="I2" s="5" t="s">
        <v>18</v>
      </c>
      <c r="J2" s="5" t="s">
        <v>19</v>
      </c>
      <c r="K2" s="9"/>
      <c r="L2" s="10" t="s">
        <v>20</v>
      </c>
      <c r="M2" s="11" t="str">
        <f>HYPERLINK("https://drive.google.com/file/d/1bLyG_4ifqe4t4CzShRo1i9iTD1tdrWzU/view?usp=sharing","📄 PDF")</f>
        <v>📄 PDF</v>
      </c>
    </row>
    <row r="3" ht="24.0" customHeight="1">
      <c r="A3" s="12">
        <v>25.0</v>
      </c>
      <c r="B3" s="13" t="s">
        <v>21</v>
      </c>
      <c r="C3" s="13" t="s">
        <v>22</v>
      </c>
      <c r="D3" s="14" t="s">
        <v>15</v>
      </c>
      <c r="E3" s="15">
        <v>2008.0</v>
      </c>
      <c r="F3" s="16" t="s">
        <v>16</v>
      </c>
      <c r="G3" s="17" t="s">
        <v>17</v>
      </c>
      <c r="H3" s="18"/>
      <c r="I3" s="14" t="s">
        <v>23</v>
      </c>
      <c r="J3" s="14" t="s">
        <v>24</v>
      </c>
      <c r="K3" s="14" t="s">
        <v>25</v>
      </c>
      <c r="L3" s="19" t="s">
        <v>20</v>
      </c>
      <c r="M3" s="20" t="str">
        <f>HYPERLINK("https://drive.google.com/file/d/181Vp4v11sAQDj-Q0QPi54cYPz3Za2Wy7/view?usp=sharing","📄 PDF")</f>
        <v>📄 PDF</v>
      </c>
    </row>
    <row r="4" ht="24.0" customHeight="1">
      <c r="A4" s="3">
        <v>15.0</v>
      </c>
      <c r="B4" s="4" t="s">
        <v>26</v>
      </c>
      <c r="C4" s="4" t="s">
        <v>27</v>
      </c>
      <c r="D4" s="5" t="s">
        <v>15</v>
      </c>
      <c r="E4" s="6">
        <v>2019.0</v>
      </c>
      <c r="F4" s="7" t="s">
        <v>16</v>
      </c>
      <c r="G4" s="8" t="s">
        <v>17</v>
      </c>
      <c r="H4" s="21" t="s">
        <v>28</v>
      </c>
      <c r="I4" s="5" t="s">
        <v>29</v>
      </c>
      <c r="J4" s="5" t="s">
        <v>30</v>
      </c>
      <c r="K4" s="21" t="s">
        <v>31</v>
      </c>
      <c r="L4" s="10" t="s">
        <v>20</v>
      </c>
      <c r="M4" s="11" t="str">
        <f>HYPERLINK("https://drive.google.com/file/d/1rEMIAvRo8E_HwGB86-Rmcl48S-3AdoRI/view?usp=sharing","📄 PDF")</f>
        <v>📄 PDF</v>
      </c>
    </row>
    <row r="5" ht="24.0" customHeight="1">
      <c r="A5" s="12">
        <v>8.0</v>
      </c>
      <c r="B5" s="13" t="s">
        <v>32</v>
      </c>
      <c r="C5" s="13" t="s">
        <v>33</v>
      </c>
      <c r="D5" s="14" t="s">
        <v>34</v>
      </c>
      <c r="E5" s="15">
        <v>2020.0</v>
      </c>
      <c r="F5" s="16" t="s">
        <v>16</v>
      </c>
      <c r="G5" s="17" t="s">
        <v>17</v>
      </c>
      <c r="H5" s="14" t="s">
        <v>35</v>
      </c>
      <c r="I5" s="14" t="s">
        <v>36</v>
      </c>
      <c r="J5" s="14" t="s">
        <v>37</v>
      </c>
      <c r="K5" s="14" t="s">
        <v>38</v>
      </c>
      <c r="L5" s="19" t="s">
        <v>20</v>
      </c>
      <c r="M5" s="20" t="str">
        <f>HYPERLINK("https://drive.google.com/file/d/1cQSBg6TguwTxEbvaig3x6876eHrF5KhG/view?usp=sharing","📄 PDF")</f>
        <v>📄 PDF</v>
      </c>
    </row>
    <row r="6" ht="24.0" customHeight="1">
      <c r="A6" s="3">
        <v>10.0</v>
      </c>
      <c r="B6" s="4" t="s">
        <v>39</v>
      </c>
      <c r="C6" s="4" t="s">
        <v>40</v>
      </c>
      <c r="D6" s="5" t="s">
        <v>15</v>
      </c>
      <c r="E6" s="6">
        <v>2024.0</v>
      </c>
      <c r="F6" s="7" t="s">
        <v>16</v>
      </c>
      <c r="G6" s="8" t="s">
        <v>17</v>
      </c>
      <c r="H6" s="9"/>
      <c r="I6" s="5" t="s">
        <v>41</v>
      </c>
      <c r="J6" s="5" t="s">
        <v>42</v>
      </c>
      <c r="K6" s="5" t="s">
        <v>43</v>
      </c>
      <c r="L6" s="10" t="s">
        <v>20</v>
      </c>
      <c r="M6" s="11" t="str">
        <f>HYPERLINK("https://drive.google.com/file/d/1ft2NLWSN4nON3H5QRb8eLYLIu9dtQBcF/view?usp=sharing","📄 PDF")</f>
        <v>📄 PDF</v>
      </c>
    </row>
    <row r="7" ht="24.0" customHeight="1">
      <c r="A7" s="12">
        <v>19.0</v>
      </c>
      <c r="B7" s="13" t="s">
        <v>44</v>
      </c>
      <c r="C7" s="13" t="s">
        <v>45</v>
      </c>
      <c r="D7" s="14" t="s">
        <v>46</v>
      </c>
      <c r="E7" s="15">
        <v>2022.0</v>
      </c>
      <c r="F7" s="16" t="s">
        <v>16</v>
      </c>
      <c r="G7" s="17" t="s">
        <v>17</v>
      </c>
      <c r="H7" s="14" t="s">
        <v>47</v>
      </c>
      <c r="I7" s="14" t="s">
        <v>48</v>
      </c>
      <c r="J7" s="14" t="s">
        <v>49</v>
      </c>
      <c r="K7" s="14" t="s">
        <v>50</v>
      </c>
      <c r="L7" s="19" t="s">
        <v>20</v>
      </c>
      <c r="M7" s="20" t="str">
        <f>HYPERLINK("https://drive.google.com/file/d/1rBRNMaBRP950Ilk6QG-18puA7jbReEeJ/view?usp=sharing","📄 PDF")</f>
        <v>📄 PDF</v>
      </c>
    </row>
    <row r="8" ht="24.0" customHeight="1">
      <c r="A8" s="3">
        <v>2.0</v>
      </c>
      <c r="B8" s="4" t="s">
        <v>51</v>
      </c>
      <c r="C8" s="4" t="s">
        <v>52</v>
      </c>
      <c r="D8" s="5" t="s">
        <v>53</v>
      </c>
      <c r="E8" s="6">
        <v>2024.0</v>
      </c>
      <c r="F8" s="22"/>
      <c r="G8" s="23" t="s">
        <v>54</v>
      </c>
      <c r="H8" s="9"/>
      <c r="I8" s="9"/>
      <c r="J8" s="9"/>
      <c r="K8" s="9"/>
      <c r="L8" s="10" t="s">
        <v>55</v>
      </c>
      <c r="M8" s="11" t="str">
        <f>HYPERLINK("https://drive.google.com/file/d/1ffG-Jdzt6WKnJiHHKpxQD6TWW-_SM3vU/view?usp=sharing","📄 PDF")</f>
        <v>📄 PDF</v>
      </c>
    </row>
    <row r="9" ht="24.0" customHeight="1">
      <c r="A9" s="12">
        <v>16.0</v>
      </c>
      <c r="B9" s="13" t="s">
        <v>56</v>
      </c>
      <c r="C9" s="13" t="s">
        <v>57</v>
      </c>
      <c r="D9" s="14" t="s">
        <v>58</v>
      </c>
      <c r="E9" s="15">
        <v>2020.0</v>
      </c>
      <c r="F9" s="16" t="s">
        <v>16</v>
      </c>
      <c r="G9" s="17" t="s">
        <v>17</v>
      </c>
      <c r="H9" s="24" t="s">
        <v>59</v>
      </c>
      <c r="I9" s="14" t="s">
        <v>60</v>
      </c>
      <c r="J9" s="14" t="s">
        <v>61</v>
      </c>
      <c r="K9" s="14" t="s">
        <v>62</v>
      </c>
      <c r="L9" s="19" t="s">
        <v>20</v>
      </c>
      <c r="M9" s="20" t="str">
        <f>HYPERLINK("https://drive.google.com/file/d/11iRiwi72OoFutunB_J5Bfm7lfoHL3_m7/view?usp=sharing","📄 PDF")</f>
        <v>📄 PDF</v>
      </c>
    </row>
    <row r="10" ht="24.0" customHeight="1">
      <c r="A10" s="3">
        <v>28.0</v>
      </c>
      <c r="B10" s="4" t="s">
        <v>63</v>
      </c>
      <c r="C10" s="4" t="s">
        <v>64</v>
      </c>
      <c r="D10" s="5" t="s">
        <v>65</v>
      </c>
      <c r="E10" s="6">
        <v>2010.0</v>
      </c>
      <c r="F10" s="7" t="s">
        <v>16</v>
      </c>
      <c r="G10" s="8" t="s">
        <v>17</v>
      </c>
      <c r="H10" s="5" t="s">
        <v>66</v>
      </c>
      <c r="I10" s="5"/>
      <c r="J10" s="5" t="s">
        <v>67</v>
      </c>
      <c r="K10" s="5" t="s">
        <v>68</v>
      </c>
      <c r="L10" s="10" t="s">
        <v>20</v>
      </c>
      <c r="M10" s="11" t="str">
        <f>HYPERLINK("https://drive.google.com/file/d/1TVsoaBfDQhfwmrGIDKhjknrOCN9ovvoi/view?usp=sharing","📄 PDF")</f>
        <v>📄 PDF</v>
      </c>
    </row>
    <row r="11" ht="24.0" customHeight="1">
      <c r="A11" s="12">
        <v>42.0</v>
      </c>
      <c r="B11" s="13" t="s">
        <v>69</v>
      </c>
      <c r="C11" s="13" t="s">
        <v>70</v>
      </c>
      <c r="D11" s="14" t="s">
        <v>15</v>
      </c>
      <c r="E11" s="15">
        <v>2021.0</v>
      </c>
      <c r="F11" s="16" t="s">
        <v>71</v>
      </c>
      <c r="G11" s="17" t="s">
        <v>17</v>
      </c>
      <c r="H11" s="18"/>
      <c r="I11" s="14" t="s">
        <v>72</v>
      </c>
      <c r="J11" s="14" t="s">
        <v>73</v>
      </c>
      <c r="K11" s="18"/>
      <c r="L11" s="19" t="s">
        <v>20</v>
      </c>
      <c r="M11" s="20" t="str">
        <f>HYPERLINK("https://drive.google.com/file/d/1ev61d6TaEgliRq3GwiZgo-YvAm2y5mCq/view?usp=sharing","📄 PDF")</f>
        <v>📄 PDF</v>
      </c>
    </row>
    <row r="12" ht="24.0" customHeight="1">
      <c r="A12" s="3">
        <v>51.0</v>
      </c>
      <c r="B12" s="4" t="s">
        <v>74</v>
      </c>
      <c r="C12" s="4" t="s">
        <v>75</v>
      </c>
      <c r="D12" s="5" t="s">
        <v>76</v>
      </c>
      <c r="E12" s="6">
        <v>2023.0</v>
      </c>
      <c r="F12" s="7" t="s">
        <v>71</v>
      </c>
      <c r="G12" s="8" t="s">
        <v>17</v>
      </c>
      <c r="H12" s="9"/>
      <c r="I12" s="5" t="s">
        <v>77</v>
      </c>
      <c r="J12" s="5" t="s">
        <v>78</v>
      </c>
      <c r="K12" s="5" t="s">
        <v>79</v>
      </c>
      <c r="L12" s="10" t="s">
        <v>20</v>
      </c>
      <c r="M12" s="11" t="str">
        <f>HYPERLINK("https://drive.google.com/file/d/1FLW6kKIvGiorJoEPY4FJc8DNgGBfBD4n/view?usp=sharing","📄 PDF")</f>
        <v>📄 PDF</v>
      </c>
    </row>
    <row r="13" ht="24.0" customHeight="1">
      <c r="A13" s="12">
        <v>7.0</v>
      </c>
      <c r="B13" s="13" t="s">
        <v>80</v>
      </c>
      <c r="C13" s="13" t="s">
        <v>81</v>
      </c>
      <c r="D13" s="14" t="s">
        <v>65</v>
      </c>
      <c r="E13" s="15">
        <v>2025.0</v>
      </c>
      <c r="F13" s="16" t="s">
        <v>16</v>
      </c>
      <c r="G13" s="17" t="s">
        <v>17</v>
      </c>
      <c r="H13" s="14" t="s">
        <v>82</v>
      </c>
      <c r="I13" s="14" t="s">
        <v>83</v>
      </c>
      <c r="J13" s="14" t="s">
        <v>84</v>
      </c>
      <c r="K13" s="14" t="s">
        <v>85</v>
      </c>
      <c r="L13" s="19" t="s">
        <v>20</v>
      </c>
      <c r="M13" s="20" t="str">
        <f>HYPERLINK("https://drive.google.com/file/d/1sOPsA_hKEbsI9kNgpADongoo831Fy3Co/view?usp=sharing","📄 PDF")</f>
        <v>📄 PDF</v>
      </c>
    </row>
    <row r="14" ht="24.0" customHeight="1">
      <c r="A14" s="3">
        <v>38.0</v>
      </c>
      <c r="B14" s="4" t="s">
        <v>86</v>
      </c>
      <c r="C14" s="4" t="s">
        <v>87</v>
      </c>
      <c r="D14" s="5" t="s">
        <v>88</v>
      </c>
      <c r="E14" s="6">
        <v>2021.0</v>
      </c>
      <c r="F14" s="22"/>
      <c r="G14" s="23" t="s">
        <v>54</v>
      </c>
      <c r="H14" s="9"/>
      <c r="I14" s="5" t="s">
        <v>89</v>
      </c>
      <c r="J14" s="5" t="s">
        <v>90</v>
      </c>
      <c r="K14" s="5" t="s">
        <v>91</v>
      </c>
      <c r="L14" s="10" t="s">
        <v>92</v>
      </c>
      <c r="M14" s="11" t="str">
        <f>HYPERLINK("https://drive.google.com/file/d/1sPXOSyv7wWnKvc8l29Yq6KXin7T56ONG/view?usp=sharing","📄 PDF")</f>
        <v>📄 PDF</v>
      </c>
    </row>
    <row r="15" ht="24.0" customHeight="1">
      <c r="A15" s="12">
        <v>52.0</v>
      </c>
      <c r="B15" s="13" t="s">
        <v>93</v>
      </c>
      <c r="C15" s="13" t="s">
        <v>94</v>
      </c>
      <c r="D15" s="14" t="s">
        <v>88</v>
      </c>
      <c r="E15" s="15">
        <v>2025.0</v>
      </c>
      <c r="F15" s="16" t="s">
        <v>71</v>
      </c>
      <c r="G15" s="17" t="s">
        <v>17</v>
      </c>
      <c r="H15" s="18"/>
      <c r="I15" s="18"/>
      <c r="J15" s="14" t="s">
        <v>95</v>
      </c>
      <c r="K15" s="14" t="s">
        <v>96</v>
      </c>
      <c r="L15" s="19" t="s">
        <v>20</v>
      </c>
      <c r="M15" s="20" t="str">
        <f>HYPERLINK("https://drive.google.com/file/d/16CNdhnPUTs6zYj7ltAigNmP03CJP7Pzn/view?usp=sharing","📄 PDF")</f>
        <v>📄 PDF</v>
      </c>
    </row>
    <row r="16" ht="24.0" customHeight="1">
      <c r="A16" s="3">
        <v>43.0</v>
      </c>
      <c r="B16" s="4" t="s">
        <v>97</v>
      </c>
      <c r="C16" s="4" t="s">
        <v>98</v>
      </c>
      <c r="D16" s="5" t="s">
        <v>99</v>
      </c>
      <c r="E16" s="6">
        <v>2023.0</v>
      </c>
      <c r="F16" s="7" t="s">
        <v>16</v>
      </c>
      <c r="G16" s="8" t="s">
        <v>17</v>
      </c>
      <c r="H16" s="5" t="s">
        <v>100</v>
      </c>
      <c r="I16" s="5" t="s">
        <v>101</v>
      </c>
      <c r="J16" s="5" t="s">
        <v>102</v>
      </c>
      <c r="K16" s="5" t="s">
        <v>103</v>
      </c>
      <c r="L16" s="10" t="s">
        <v>20</v>
      </c>
      <c r="M16" s="11" t="str">
        <f>HYPERLINK("https://drive.google.com/file/d/1essqf5V6PVyb5LC0fX9wNpgtLiTqqclJ/view?usp=sharing","📄 PDF")</f>
        <v>📄 PDF</v>
      </c>
    </row>
    <row r="17" ht="24.0" customHeight="1">
      <c r="A17" s="12">
        <v>133.0</v>
      </c>
      <c r="B17" s="13" t="s">
        <v>104</v>
      </c>
      <c r="C17" s="13" t="s">
        <v>105</v>
      </c>
      <c r="D17" s="14" t="s">
        <v>88</v>
      </c>
      <c r="E17" s="15">
        <v>2025.0</v>
      </c>
      <c r="F17" s="16" t="s">
        <v>106</v>
      </c>
      <c r="G17" s="17" t="s">
        <v>17</v>
      </c>
      <c r="H17" s="14" t="s">
        <v>107</v>
      </c>
      <c r="I17" s="14" t="s">
        <v>108</v>
      </c>
      <c r="J17" s="14" t="s">
        <v>109</v>
      </c>
      <c r="K17" s="14" t="s">
        <v>110</v>
      </c>
      <c r="L17" s="19" t="s">
        <v>20</v>
      </c>
      <c r="M17" s="20" t="str">
        <f>HYPERLINK("https://drive.google.com/file/d/1yDY2ztuwhXFKatg5bHfUlj5imyYDcI_T/view?usp=sharing","📄 PDF")</f>
        <v>📄 PDF</v>
      </c>
    </row>
    <row r="18" ht="24.0" customHeight="1">
      <c r="A18" s="3">
        <v>81.0</v>
      </c>
      <c r="B18" s="4" t="s">
        <v>111</v>
      </c>
      <c r="C18" s="4" t="s">
        <v>112</v>
      </c>
      <c r="D18" s="5" t="s">
        <v>113</v>
      </c>
      <c r="E18" s="6">
        <v>2020.0</v>
      </c>
      <c r="F18" s="7" t="s">
        <v>16</v>
      </c>
      <c r="G18" s="8" t="s">
        <v>17</v>
      </c>
      <c r="H18" s="9"/>
      <c r="I18" s="9"/>
      <c r="J18" s="5" t="s">
        <v>114</v>
      </c>
      <c r="K18" s="9"/>
      <c r="L18" s="10" t="s">
        <v>20</v>
      </c>
      <c r="M18" s="11" t="str">
        <f>HYPERLINK("https://drive.google.com/file/d/1dPcPquFtllGUl6uD7qMX2Y-8zAMWt_AR/view?usp=sharing","📄 PDF")</f>
        <v>📄 PDF</v>
      </c>
    </row>
    <row r="19" ht="24.0" customHeight="1">
      <c r="A19" s="12">
        <v>83.0</v>
      </c>
      <c r="B19" s="13" t="s">
        <v>115</v>
      </c>
      <c r="C19" s="13" t="s">
        <v>116</v>
      </c>
      <c r="D19" s="14" t="s">
        <v>117</v>
      </c>
      <c r="E19" s="15">
        <v>2017.0</v>
      </c>
      <c r="F19" s="16" t="s">
        <v>16</v>
      </c>
      <c r="G19" s="17" t="s">
        <v>17</v>
      </c>
      <c r="H19" s="18"/>
      <c r="I19" s="14" t="s">
        <v>118</v>
      </c>
      <c r="J19" s="14" t="s">
        <v>119</v>
      </c>
      <c r="K19" s="14" t="s">
        <v>120</v>
      </c>
      <c r="L19" s="19" t="s">
        <v>20</v>
      </c>
      <c r="M19" s="20" t="str">
        <f>HYPERLINK("https://drive.google.com/file/d/1Y4wgHHUtV0MQMy2eIlJ4nSmdHilUez7b/view?usp=sharing","📄 PDF")</f>
        <v>📄 PDF</v>
      </c>
    </row>
    <row r="20" ht="24.0" customHeight="1">
      <c r="A20" s="3">
        <v>63.0</v>
      </c>
      <c r="B20" s="4" t="s">
        <v>121</v>
      </c>
      <c r="C20" s="4" t="s">
        <v>122</v>
      </c>
      <c r="D20" s="5" t="s">
        <v>88</v>
      </c>
      <c r="E20" s="6">
        <v>2025.0</v>
      </c>
      <c r="F20" s="7" t="s">
        <v>106</v>
      </c>
      <c r="G20" s="8" t="s">
        <v>17</v>
      </c>
      <c r="H20" s="5" t="s">
        <v>123</v>
      </c>
      <c r="I20" s="5" t="s">
        <v>124</v>
      </c>
      <c r="J20" s="5" t="s">
        <v>125</v>
      </c>
      <c r="K20" s="5" t="s">
        <v>126</v>
      </c>
      <c r="L20" s="10" t="s">
        <v>20</v>
      </c>
      <c r="M20" s="11" t="str">
        <f>HYPERLINK("https://drive.google.com/file/d/1t-OMb6ufSN6rC8okiRqUM1EF6v0KDOib/view?usp=sharing","📄 PDF")</f>
        <v>📄 PDF</v>
      </c>
    </row>
    <row r="21" ht="24.0" customHeight="1">
      <c r="A21" s="12">
        <v>199.0</v>
      </c>
      <c r="B21" s="13" t="s">
        <v>127</v>
      </c>
      <c r="C21" s="13" t="s">
        <v>128</v>
      </c>
      <c r="D21" s="14" t="s">
        <v>129</v>
      </c>
      <c r="E21" s="15">
        <v>2019.0</v>
      </c>
      <c r="F21" s="25" t="s">
        <v>130</v>
      </c>
      <c r="G21" s="26" t="s">
        <v>54</v>
      </c>
      <c r="H21" s="14" t="s">
        <v>131</v>
      </c>
      <c r="I21" s="18"/>
      <c r="J21" s="18"/>
      <c r="K21" s="14" t="s">
        <v>132</v>
      </c>
      <c r="L21" s="19" t="s">
        <v>133</v>
      </c>
      <c r="M21" s="20" t="str">
        <f>HYPERLINK("https://drive.google.com/file/d/1pQopOXt2XNY0qX-9LVvEnSWfbAIvmzPM/view?usp=sharing","📄 PDF")</f>
        <v>📄 PDF</v>
      </c>
    </row>
    <row r="22" ht="24.0" customHeight="1">
      <c r="A22" s="3">
        <v>65.0</v>
      </c>
      <c r="B22" s="4" t="s">
        <v>134</v>
      </c>
      <c r="C22" s="4" t="s">
        <v>135</v>
      </c>
      <c r="D22" s="4" t="s">
        <v>136</v>
      </c>
      <c r="E22" s="6">
        <v>2023.0</v>
      </c>
      <c r="F22" s="7" t="s">
        <v>16</v>
      </c>
      <c r="G22" s="8" t="s">
        <v>17</v>
      </c>
      <c r="H22" s="9"/>
      <c r="I22" s="5" t="s">
        <v>137</v>
      </c>
      <c r="J22" s="5" t="s">
        <v>138</v>
      </c>
      <c r="K22" s="5" t="s">
        <v>139</v>
      </c>
      <c r="L22" s="10" t="s">
        <v>20</v>
      </c>
      <c r="M22" s="11" t="str">
        <f>HYPERLINK("https://drive.google.com/file/d/10JhnvShRSyQzF3ycYP7ideG5FnFLZ3dw/view?usp=sharing","📄 PDF")</f>
        <v>📄 PDF</v>
      </c>
    </row>
    <row r="23" ht="24.0" customHeight="1">
      <c r="A23" s="12">
        <v>96.0</v>
      </c>
      <c r="B23" s="13" t="s">
        <v>140</v>
      </c>
      <c r="C23" s="13" t="s">
        <v>141</v>
      </c>
      <c r="D23" s="14" t="s">
        <v>65</v>
      </c>
      <c r="E23" s="15">
        <v>2025.0</v>
      </c>
      <c r="F23" s="16" t="s">
        <v>16</v>
      </c>
      <c r="G23" s="17" t="s">
        <v>17</v>
      </c>
      <c r="H23" s="14" t="s">
        <v>142</v>
      </c>
      <c r="I23" s="14" t="s">
        <v>143</v>
      </c>
      <c r="J23" s="14" t="s">
        <v>144</v>
      </c>
      <c r="K23" s="14" t="s">
        <v>145</v>
      </c>
      <c r="L23" s="19" t="s">
        <v>20</v>
      </c>
      <c r="M23" s="20" t="str">
        <f>HYPERLINK("https://drive.google.com/file/d/1Gd9rx71i2F19Re4jxCDs7YIxO02MulGm/view?usp=sharing","📄 PDF")</f>
        <v>📄 PDF</v>
      </c>
    </row>
    <row r="24" ht="24.0" customHeight="1">
      <c r="A24" s="3">
        <v>53.0</v>
      </c>
      <c r="B24" s="4" t="s">
        <v>146</v>
      </c>
      <c r="C24" s="4" t="s">
        <v>147</v>
      </c>
      <c r="D24" s="5" t="s">
        <v>88</v>
      </c>
      <c r="E24" s="6">
        <v>2023.0</v>
      </c>
      <c r="F24" s="7" t="s">
        <v>16</v>
      </c>
      <c r="G24" s="8" t="s">
        <v>17</v>
      </c>
      <c r="H24" s="9"/>
      <c r="I24" s="9"/>
      <c r="J24" s="5" t="s">
        <v>148</v>
      </c>
      <c r="K24" s="5" t="s">
        <v>149</v>
      </c>
      <c r="L24" s="10" t="s">
        <v>20</v>
      </c>
      <c r="M24" s="11" t="str">
        <f>HYPERLINK("https://drive.google.com/file/d/1e_XwQgBEV4RdfOhSU0tdzLBdCUn3LpkB/view?usp=sharing","📄 PDF")</f>
        <v>📄 PDF</v>
      </c>
    </row>
    <row r="25" ht="24.0" customHeight="1">
      <c r="A25" s="12">
        <v>207.0</v>
      </c>
      <c r="B25" s="13" t="s">
        <v>150</v>
      </c>
      <c r="C25" s="13" t="s">
        <v>151</v>
      </c>
      <c r="D25" s="14" t="s">
        <v>15</v>
      </c>
      <c r="E25" s="15">
        <v>2021.0</v>
      </c>
      <c r="F25" s="16" t="s">
        <v>16</v>
      </c>
      <c r="G25" s="17" t="s">
        <v>17</v>
      </c>
      <c r="H25" s="14" t="s">
        <v>152</v>
      </c>
      <c r="I25" s="14" t="s">
        <v>153</v>
      </c>
      <c r="J25" s="14" t="s">
        <v>154</v>
      </c>
      <c r="K25" s="14" t="s">
        <v>155</v>
      </c>
      <c r="L25" s="19" t="s">
        <v>20</v>
      </c>
      <c r="M25" s="20" t="str">
        <f>HYPERLINK("https://drive.google.com/file/d/1Mk10Oj_lLTyI0gOD9uED4hpG4T2vYQVU/view?usp=sharing","📄 PDF")</f>
        <v>📄 PDF</v>
      </c>
    </row>
    <row r="26" ht="24.0" customHeight="1">
      <c r="A26" s="3">
        <v>104.0</v>
      </c>
      <c r="B26" s="4" t="s">
        <v>156</v>
      </c>
      <c r="C26" s="4" t="s">
        <v>157</v>
      </c>
      <c r="D26" s="5" t="s">
        <v>65</v>
      </c>
      <c r="E26" s="6">
        <v>2022.0</v>
      </c>
      <c r="F26" s="7" t="s">
        <v>16</v>
      </c>
      <c r="G26" s="8" t="s">
        <v>17</v>
      </c>
      <c r="H26" s="5" t="s">
        <v>158</v>
      </c>
      <c r="I26" s="5" t="s">
        <v>159</v>
      </c>
      <c r="J26" s="5" t="s">
        <v>160</v>
      </c>
      <c r="K26" s="5" t="s">
        <v>161</v>
      </c>
      <c r="L26" s="10" t="s">
        <v>20</v>
      </c>
      <c r="M26" s="11" t="str">
        <f>HYPERLINK("https://drive.google.com/file/d/1KEfnYtiQjYe3rnTZs28utqospA_tiM6_/view?usp=sharing","📄 PDF")</f>
        <v>📄 PDF</v>
      </c>
    </row>
    <row r="27" ht="24.0" customHeight="1">
      <c r="A27" s="12">
        <v>153.0</v>
      </c>
      <c r="B27" s="13" t="s">
        <v>162</v>
      </c>
      <c r="C27" s="13" t="s">
        <v>163</v>
      </c>
      <c r="D27" s="14" t="s">
        <v>88</v>
      </c>
      <c r="E27" s="15">
        <v>2024.0</v>
      </c>
      <c r="F27" s="16" t="s">
        <v>16</v>
      </c>
      <c r="G27" s="17" t="s">
        <v>17</v>
      </c>
      <c r="H27" s="14" t="s">
        <v>164</v>
      </c>
      <c r="I27" s="14" t="s">
        <v>165</v>
      </c>
      <c r="J27" s="14" t="s">
        <v>166</v>
      </c>
      <c r="K27" s="14" t="s">
        <v>167</v>
      </c>
      <c r="L27" s="19" t="s">
        <v>20</v>
      </c>
      <c r="M27" s="20" t="str">
        <f>HYPERLINK("https://drive.google.com/file/d/1iOXtb0BULF8n263NcUW_V4Qf1khV820j/view?usp=sharing","📄 PDF")</f>
        <v>📄 PDF</v>
      </c>
    </row>
    <row r="28" ht="24.0" customHeight="1">
      <c r="A28" s="3">
        <v>249.0</v>
      </c>
      <c r="B28" s="11" t="s">
        <v>168</v>
      </c>
      <c r="C28" s="4" t="s">
        <v>169</v>
      </c>
      <c r="D28" s="5" t="s">
        <v>15</v>
      </c>
      <c r="E28" s="6">
        <v>2022.0</v>
      </c>
      <c r="F28" s="7" t="s">
        <v>16</v>
      </c>
      <c r="G28" s="23" t="s">
        <v>54</v>
      </c>
      <c r="H28" s="9"/>
      <c r="I28" s="9"/>
      <c r="J28" s="9"/>
      <c r="K28" s="9"/>
      <c r="L28" s="10" t="s">
        <v>170</v>
      </c>
      <c r="M28" s="11" t="str">
        <f>HYPERLINK("https://drive.google.com/file/d/1gKuxKxKAbtGKa_WcEa2uzH2NAbbhmIBx/view?usp=sharing","📄 PDF")</f>
        <v>📄 PDF</v>
      </c>
    </row>
    <row r="29" ht="24.0" customHeight="1">
      <c r="A29" s="12">
        <v>188.0</v>
      </c>
      <c r="B29" s="13" t="s">
        <v>171</v>
      </c>
      <c r="C29" s="13" t="s">
        <v>172</v>
      </c>
      <c r="D29" s="14" t="s">
        <v>65</v>
      </c>
      <c r="E29" s="15">
        <v>2025.0</v>
      </c>
      <c r="F29" s="16" t="s">
        <v>16</v>
      </c>
      <c r="G29" s="17" t="s">
        <v>17</v>
      </c>
      <c r="H29" s="14" t="s">
        <v>173</v>
      </c>
      <c r="I29" s="18"/>
      <c r="J29" s="14" t="s">
        <v>174</v>
      </c>
      <c r="K29" s="14" t="s">
        <v>175</v>
      </c>
      <c r="L29" s="19" t="s">
        <v>20</v>
      </c>
      <c r="M29" s="20" t="str">
        <f>HYPERLINK("https://drive.google.com/file/d/1Hu_YXrfQ0dRhuKwTIVdvZe9-nQl0kyWO/view?usp=sharing","📄 PDF")</f>
        <v>📄 PDF</v>
      </c>
    </row>
    <row r="30" ht="24.0" customHeight="1">
      <c r="A30" s="27">
        <v>115.0</v>
      </c>
      <c r="B30" s="28" t="s">
        <v>176</v>
      </c>
      <c r="C30" s="28" t="s">
        <v>177</v>
      </c>
      <c r="D30" s="29" t="s">
        <v>88</v>
      </c>
      <c r="E30" s="30">
        <v>2013.0</v>
      </c>
      <c r="F30" s="31"/>
      <c r="G30" s="32" t="s">
        <v>54</v>
      </c>
      <c r="H30" s="33"/>
      <c r="I30" s="33"/>
      <c r="J30" s="33"/>
      <c r="K30" s="33"/>
      <c r="L30" s="34" t="s">
        <v>178</v>
      </c>
      <c r="M30" s="35" t="str">
        <f>HYPERLINK("https://drive.google.com/file/d/1Yb9e7QtgEy4rUjnhOvX3hhpPgKkxg2R-/view?usp=sharing","📄 PDF")</f>
        <v>📄 PDF</v>
      </c>
    </row>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dataValidations>
    <dataValidation type="list" allowBlank="1" sqref="F2:F30">
      <formula1>"CQ1,CQ2,CQ3,CQ4"</formula1>
    </dataValidation>
    <dataValidation type="list" allowBlank="1" sqref="G2:G30">
      <formula1>"Included,Excluded"</formula1>
    </dataValidation>
  </dataValidations>
  <hyperlinks>
    <hyperlink r:id="rId1" ref="B28"/>
  </hyperlinks>
  <drawing r:id="rId2"/>
  <tableParts count="1">
    <tablePart r:id="rId4"/>
  </tableParts>
</worksheet>
</file>